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Sjw_Folder\STMS\재고관리프로그램소스 백업\"/>
    </mc:Choice>
  </mc:AlternateContent>
  <bookViews>
    <workbookView xWindow="2685" yWindow="2685" windowWidth="17280" windowHeight="9960"/>
  </bookViews>
  <sheets>
    <sheet name="부품 재고현황" sheetId="1" r:id="rId1"/>
  </sheets>
  <definedNames>
    <definedName name="_xlnm._FilterDatabase" localSheetId="0" hidden="1">'부품 재고현황'!$B$3:$E$64</definedName>
    <definedName name="_xlnm._FilterDatabase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7" i="1" l="1"/>
  <c r="G1" i="1" l="1"/>
</calcChain>
</file>

<file path=xl/sharedStrings.xml><?xml version="1.0" encoding="utf-8"?>
<sst xmlns="http://schemas.openxmlformats.org/spreadsheetml/2006/main" count="166" uniqueCount="158">
  <si>
    <t>부품 재고현황</t>
    <phoneticPr fontId="4" type="noConversion"/>
  </si>
  <si>
    <t>신품번</t>
  </si>
  <si>
    <t>구품번</t>
  </si>
  <si>
    <t>재고수량</t>
    <phoneticPr fontId="4" type="noConversion"/>
  </si>
  <si>
    <t>MC000004</t>
    <phoneticPr fontId="4" type="noConversion"/>
  </si>
  <si>
    <t>Adapter, HD5500 Casting Type</t>
  </si>
  <si>
    <t>Adaptor, XD1200 DP To BP Casting Type.</t>
  </si>
  <si>
    <t>MC000748</t>
    <phoneticPr fontId="4" type="noConversion"/>
  </si>
  <si>
    <t>Adaptor_BP TO DP_HD3500 GEN-1_CASTING</t>
    <phoneticPr fontId="4" type="noConversion"/>
  </si>
  <si>
    <t>Plate Water Jacket Rotor Housing, DD255</t>
  </si>
  <si>
    <t>Plate Water Jacket Rotor Housing, SUS304, DD105</t>
  </si>
  <si>
    <t>MD000045</t>
    <phoneticPr fontId="4" type="noConversion"/>
  </si>
  <si>
    <t>ADAPTOR_GEAR*FORCED DRIVE_DD_S45C_NONE</t>
  </si>
  <si>
    <t>Orifice, Tube Type, D0.3 Tube 1/4</t>
  </si>
  <si>
    <t>MD000097</t>
    <phoneticPr fontId="4" type="noConversion"/>
  </si>
  <si>
    <t>Cover, HD NDEC Filter, 109x127x5t, S45C</t>
  </si>
  <si>
    <t>MD000115</t>
    <phoneticPr fontId="4" type="noConversion"/>
  </si>
  <si>
    <t>Retainer, HD DE Bearing, S45C</t>
  </si>
  <si>
    <t>Holder, HD550 Rev1 Piston Ring Motor Side</t>
  </si>
  <si>
    <t>Holder, HD550 Rev1 Piston Ring Gear Side</t>
  </si>
  <si>
    <t>Slinger, HD DE, 15.240±0.005</t>
  </si>
  <si>
    <t>LOCK NUT_FORCED DRIVE_M45X1.5P</t>
  </si>
  <si>
    <t>MD000315</t>
    <phoneticPr fontId="4" type="noConversion"/>
  </si>
  <si>
    <t>Oil Ring, MK700 Rev.2, S45C</t>
  </si>
  <si>
    <t>BEARING STOPPER</t>
  </si>
  <si>
    <t>Spacer, MK1400 Motor Rotator</t>
  </si>
  <si>
    <t>Retainer, MK3000 Bearing</t>
  </si>
  <si>
    <t>MD000345</t>
    <phoneticPr fontId="4" type="noConversion"/>
  </si>
  <si>
    <t>OIL RING, Pusher, MK3000</t>
  </si>
  <si>
    <t>MD000348</t>
    <phoneticPr fontId="4" type="noConversion"/>
  </si>
  <si>
    <t>Pusher, MK3000 Splasher</t>
  </si>
  <si>
    <t>MD000820</t>
    <phoneticPr fontId="4" type="noConversion"/>
  </si>
  <si>
    <t>HOLDER_PISTON RING_ID35.0*OD44.6*L16.16_12L14_NONE</t>
    <phoneticPr fontId="4" type="noConversion"/>
  </si>
  <si>
    <t>MD000823</t>
    <phoneticPr fontId="4" type="noConversion"/>
  </si>
  <si>
    <t>RETAINER_BEARING_MK1400 REV-3_6207_S45C_NONE</t>
    <phoneticPr fontId="4" type="noConversion"/>
  </si>
  <si>
    <t>MD000964</t>
    <phoneticPr fontId="4" type="noConversion"/>
  </si>
  <si>
    <t>MD000964</t>
  </si>
  <si>
    <t>SLINGER_ID40.0*D74.0*L22.0_HD2000EM_S45C_NONE</t>
  </si>
  <si>
    <t>MD001105</t>
    <phoneticPr fontId="4" type="noConversion"/>
  </si>
  <si>
    <t>SLINGER_ID40.0*D74.0*L22.0_사각 GROOVE_HD2000EM_S45C_NONE</t>
    <phoneticPr fontId="4" type="noConversion"/>
  </si>
  <si>
    <t>MD001146</t>
    <phoneticPr fontId="4" type="noConversion"/>
  </si>
  <si>
    <t>RING_LABYRINTH_ID50.00*OD70.00*L11.2_S45C_NONE</t>
    <phoneticPr fontId="4" type="noConversion"/>
  </si>
  <si>
    <t>MD001147</t>
    <phoneticPr fontId="4" type="noConversion"/>
  </si>
  <si>
    <t>SLINGER_ID40.02*OD49.6*L15.260_S45C_NONE</t>
    <phoneticPr fontId="4" type="noConversion"/>
  </si>
  <si>
    <t>MD001155</t>
    <phoneticPr fontId="4" type="noConversion"/>
  </si>
  <si>
    <t>SLINGER_ID30.0*OD56.4*L10.1_S45C_NONE</t>
    <phoneticPr fontId="4" type="noConversion"/>
  </si>
  <si>
    <t>MC000001</t>
    <phoneticPr fontId="4" type="noConversion"/>
  </si>
  <si>
    <t>Adapter, HD4500 Rev2 Casting Type</t>
    <phoneticPr fontId="4" type="noConversion"/>
  </si>
  <si>
    <t>MC000005</t>
    <phoneticPr fontId="4" type="noConversion"/>
  </si>
  <si>
    <t>Adaptor, HD2400/3000 BP To DP Casting Type, None, GC250</t>
  </si>
  <si>
    <t>MC000006</t>
    <phoneticPr fontId="4" type="noConversion"/>
  </si>
  <si>
    <t>Adapter, RD3009L Casting Type</t>
  </si>
  <si>
    <t>MC000014</t>
    <phoneticPr fontId="4" type="noConversion"/>
  </si>
  <si>
    <t>Adaptor, HD3000 BP To DP Casting Type, None, GC250</t>
  </si>
  <si>
    <t>Slinger, HD550 Rev1 Motor Side</t>
  </si>
  <si>
    <t xml:space="preserve">MD000185 </t>
    <phoneticPr fontId="4" type="noConversion"/>
  </si>
  <si>
    <t>Slinger, HD550 Rev1 Gear Side</t>
  </si>
  <si>
    <t>Slinger, HD300 DE Rotor, 20.280mm, 12L14</t>
  </si>
  <si>
    <t>Slinger, HD300 DE Rotor, 20.320mm, 12L14</t>
  </si>
  <si>
    <t>Retainer, RD700 NDE Bearing</t>
  </si>
  <si>
    <t>Key, RD900 22kW Rotator</t>
  </si>
  <si>
    <t>MD000268</t>
    <phoneticPr fontId="4" type="noConversion"/>
  </si>
  <si>
    <t>Ring, RD900/MK3000 Motor Rotator Spacer</t>
  </si>
  <si>
    <t>MD000269</t>
    <phoneticPr fontId="4" type="noConversion"/>
  </si>
  <si>
    <t>Pusher, RD900 Rotator</t>
  </si>
  <si>
    <t>Plate, RD900 Bypass 2-4 Stage</t>
  </si>
  <si>
    <t>MD000285</t>
    <phoneticPr fontId="4" type="noConversion"/>
  </si>
  <si>
    <t>PLATE_BYPASS_RD900_1-2 STAGE_SUS304_NONE</t>
  </si>
  <si>
    <t>MD000314</t>
    <phoneticPr fontId="4" type="noConversion"/>
  </si>
  <si>
    <t>MD000318</t>
    <phoneticPr fontId="4" type="noConversion"/>
  </si>
  <si>
    <t>PUSHER-SPLASHER</t>
  </si>
  <si>
    <t>MD000337</t>
    <phoneticPr fontId="4" type="noConversion"/>
  </si>
  <si>
    <t>MD000338</t>
    <phoneticPr fontId="4" type="noConversion"/>
  </si>
  <si>
    <t>DISC PUSHER, MOTOR KEY TYPE</t>
  </si>
  <si>
    <t>MD000379</t>
    <phoneticPr fontId="4" type="noConversion"/>
  </si>
  <si>
    <t>Oil Feed Block, DD105-255, A6061-T6</t>
  </si>
  <si>
    <t>MD000427</t>
    <phoneticPr fontId="4" type="noConversion"/>
  </si>
  <si>
    <t>COVER-GEROTOR</t>
  </si>
  <si>
    <t>MD000525</t>
    <phoneticPr fontId="4" type="noConversion"/>
  </si>
  <si>
    <t>Tongue Shim-L, MK3000</t>
  </si>
  <si>
    <t>MD000526</t>
    <phoneticPr fontId="4" type="noConversion"/>
  </si>
  <si>
    <t>Tongue Shim-R, MK3000</t>
  </si>
  <si>
    <t>MD000667</t>
    <phoneticPr fontId="4" type="noConversion"/>
  </si>
  <si>
    <t>SPLASH, RING</t>
  </si>
  <si>
    <t>MD000720</t>
    <phoneticPr fontId="4" type="noConversion"/>
  </si>
  <si>
    <t>Oil Feed Block, DD 1855PW (MD000720)</t>
  </si>
  <si>
    <t>MD000854</t>
    <phoneticPr fontId="4" type="noConversion"/>
  </si>
  <si>
    <t>OIL RING_6214_S45C_NONE</t>
    <phoneticPr fontId="4" type="noConversion"/>
  </si>
  <si>
    <t>MC000013</t>
    <phoneticPr fontId="3" type="noConversion"/>
  </si>
  <si>
    <t>MD000011</t>
    <phoneticPr fontId="3" type="noConversion"/>
  </si>
  <si>
    <t>MD000025</t>
    <phoneticPr fontId="3" type="noConversion"/>
  </si>
  <si>
    <t>MD000187</t>
    <phoneticPr fontId="3" type="noConversion"/>
  </si>
  <si>
    <t>MD000188</t>
    <phoneticPr fontId="3" type="noConversion"/>
  </si>
  <si>
    <t xml:space="preserve">MD000190 </t>
    <phoneticPr fontId="3" type="noConversion"/>
  </si>
  <si>
    <t>MD000266</t>
    <phoneticPr fontId="3" type="noConversion"/>
  </si>
  <si>
    <t>MD000326</t>
    <phoneticPr fontId="3" type="noConversion"/>
  </si>
  <si>
    <t>MD000333</t>
    <phoneticPr fontId="3" type="noConversion"/>
  </si>
  <si>
    <t>MD000339</t>
    <phoneticPr fontId="3" type="noConversion"/>
  </si>
  <si>
    <t>MD000344</t>
    <phoneticPr fontId="3" type="noConversion"/>
  </si>
  <si>
    <t>MD000195</t>
    <phoneticPr fontId="3" type="noConversion"/>
  </si>
  <si>
    <t>MD000196</t>
    <phoneticPr fontId="3" type="noConversion"/>
  </si>
  <si>
    <t>MD000197</t>
    <phoneticPr fontId="3" type="noConversion"/>
  </si>
  <si>
    <t>MD000262</t>
    <phoneticPr fontId="3" type="noConversion"/>
  </si>
  <si>
    <t>MD000267</t>
    <phoneticPr fontId="3" type="noConversion"/>
  </si>
  <si>
    <t>MD000284</t>
    <phoneticPr fontId="3" type="noConversion"/>
  </si>
  <si>
    <t>MC000819</t>
    <phoneticPr fontId="3" type="noConversion"/>
  </si>
  <si>
    <t xml:space="preserve">ADAPTOR </t>
    <phoneticPr fontId="3" type="noConversion"/>
  </si>
  <si>
    <t>공정 진행중</t>
    <phoneticPr fontId="4" type="noConversion"/>
  </si>
  <si>
    <t>MD001003</t>
    <phoneticPr fontId="4" type="noConversion"/>
  </si>
  <si>
    <t>DUCT_OIL SPLASH MOTOR SIDE_WS1001_A6061_NONE</t>
    <phoneticPr fontId="4" type="noConversion"/>
  </si>
  <si>
    <t>입고 수량</t>
    <phoneticPr fontId="4" type="noConversion"/>
  </si>
  <si>
    <t>MD000113</t>
    <phoneticPr fontId="4" type="noConversion"/>
  </si>
  <si>
    <t>MD000112</t>
    <phoneticPr fontId="4" type="noConversion"/>
  </si>
  <si>
    <t>MD000099</t>
    <phoneticPr fontId="4" type="noConversion"/>
  </si>
  <si>
    <t>MD001004</t>
  </si>
  <si>
    <t>MD001005</t>
  </si>
  <si>
    <t>DUCT_OIL SPLASH MOTOR SIDE_WS501_A6061_NONE</t>
    <phoneticPr fontId="3" type="noConversion"/>
  </si>
  <si>
    <t>MD001319</t>
    <phoneticPr fontId="4" type="noConversion"/>
  </si>
  <si>
    <t>MC000573</t>
    <phoneticPr fontId="3" type="noConversion"/>
  </si>
  <si>
    <t>MC000798</t>
    <phoneticPr fontId="3" type="noConversion"/>
  </si>
  <si>
    <t>MD000292</t>
    <phoneticPr fontId="3" type="noConversion"/>
  </si>
  <si>
    <t>RETAINER_BEARING_5211_S45C_NONE</t>
  </si>
  <si>
    <t>MD001315</t>
    <phoneticPr fontId="4" type="noConversion"/>
  </si>
  <si>
    <t>SA000795</t>
    <phoneticPr fontId="3" type="noConversion"/>
  </si>
  <si>
    <t>GEROTOR_SMF5030_비전분말야금</t>
    <phoneticPr fontId="3" type="noConversion"/>
  </si>
  <si>
    <t>MD001174</t>
    <phoneticPr fontId="3" type="noConversion"/>
  </si>
  <si>
    <t>MD001007</t>
    <phoneticPr fontId="3" type="noConversion"/>
  </si>
  <si>
    <t>DUCT_OIL SPLASH MOTOR SIDE_WS2001_A6061_NONE</t>
    <phoneticPr fontId="3" type="noConversion"/>
  </si>
  <si>
    <t>803A030</t>
    <phoneticPr fontId="4" type="noConversion"/>
  </si>
  <si>
    <t>Stud BOLT</t>
    <phoneticPr fontId="3" type="noConversion"/>
  </si>
  <si>
    <t>SPACER_IPEL_SPLASH DISK_HD200_A6061_NONE</t>
    <phoneticPr fontId="3" type="noConversion"/>
  </si>
  <si>
    <t xml:space="preserve"> ADAPTOR_BP TO DP_HD3000 GEN-1 (수리용)_CASTING_GCD450_PAINT</t>
    <phoneticPr fontId="3" type="noConversion"/>
  </si>
  <si>
    <t>DUCT_OIL SPLASH GEAR SIDE_WS501_A6061_NONE</t>
    <phoneticPr fontId="3" type="noConversion"/>
  </si>
  <si>
    <t>BODY_I-PEL_HD550 SHAFT(Y, NDE)_G1/4''*L17_S45C_NONE</t>
    <phoneticPr fontId="3" type="noConversion"/>
  </si>
  <si>
    <t>품명</t>
    <phoneticPr fontId="3" type="noConversion"/>
  </si>
  <si>
    <t>MD000999</t>
    <phoneticPr fontId="3" type="noConversion"/>
  </si>
  <si>
    <t>DUCT_OIL SPLASH GEAR SIDE_WS1001_A6061_NONE</t>
    <phoneticPr fontId="3" type="noConversion"/>
  </si>
  <si>
    <t>납품 빈도 : A</t>
    <phoneticPr fontId="3" type="noConversion"/>
  </si>
  <si>
    <t>순번</t>
    <phoneticPr fontId="3" type="noConversion"/>
  </si>
  <si>
    <t>납품 빈도 : B</t>
    <phoneticPr fontId="3" type="noConversion"/>
  </si>
  <si>
    <t>납품 빈도 : C</t>
    <phoneticPr fontId="3" type="noConversion"/>
  </si>
  <si>
    <t>어댑터</t>
    <phoneticPr fontId="3" type="noConversion"/>
  </si>
  <si>
    <t>MD000060</t>
    <phoneticPr fontId="3" type="noConversion"/>
  </si>
  <si>
    <t>MD000061</t>
  </si>
  <si>
    <t>BLOCK_TUBE SUPPORT LOWER_3/8_A6061_NONE</t>
    <phoneticPr fontId="3" type="noConversion"/>
  </si>
  <si>
    <t>BLOCK_TUBE SUPPORT UPPER_3/8_A6061_NONE</t>
    <phoneticPr fontId="3" type="noConversion"/>
  </si>
  <si>
    <t>BLOCK_DD100KHF_BASE_A6061_NONE</t>
    <phoneticPr fontId="3" type="noConversion"/>
  </si>
  <si>
    <t>MD000906</t>
    <phoneticPr fontId="3" type="noConversion"/>
  </si>
  <si>
    <t>MD000912</t>
    <phoneticPr fontId="3" type="noConversion"/>
  </si>
  <si>
    <t>COLUMN_SUPPORT_XD1800_OD40.0*L26.0-M8_SUS316_NONE</t>
    <phoneticPr fontId="3" type="noConversion"/>
  </si>
  <si>
    <t>OIL RING, PUSHER</t>
    <phoneticPr fontId="3" type="noConversion"/>
  </si>
  <si>
    <t>MD000062</t>
  </si>
  <si>
    <t>MD000763</t>
    <phoneticPr fontId="3" type="noConversion"/>
  </si>
  <si>
    <t>ORIFICE_PLATE*TUBE 1/4_D0.8_SUS304_NONE</t>
    <phoneticPr fontId="3" type="noConversion"/>
  </si>
  <si>
    <t xml:space="preserve"> </t>
    <phoneticPr fontId="3" type="noConversion"/>
  </si>
  <si>
    <t>`</t>
    <phoneticPr fontId="3" type="noConversion"/>
  </si>
  <si>
    <t>MC000574</t>
  </si>
  <si>
    <t>MD000184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</si>
</sst>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1" fontId="9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0" xfId="1" applyAlignment="1">
      <alignment horizontal="center" vertical="center"/>
    </xf>
    <xf numFmtId="14" fontId="1" fillId="0" borderId="0" xfId="1" applyNumberFormat="1">
      <alignment vertical="center"/>
    </xf>
    <xf numFmtId="0" fontId="1" fillId="2" borderId="0" xfId="1" applyFill="1">
      <alignment vertical="center"/>
    </xf>
    <xf numFmtId="0" fontId="6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41" fontId="8" fillId="0" borderId="1" xfId="2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/>
    </xf>
    <xf numFmtId="41" fontId="8" fillId="2" borderId="1" xfId="2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 wrapText="1"/>
    </xf>
    <xf numFmtId="41" fontId="8" fillId="2" borderId="3" xfId="2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41" fontId="10" fillId="2" borderId="1" xfId="2" applyFont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5" fillId="6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</cellXfs>
  <cellStyles count="3">
    <cellStyle name="쉼표 [0]" xfId="2" builtinId="6"/>
    <cellStyle name="표준" xfId="0" builtinId="0"/>
    <cellStyle name="표준 2 2 2" xfId="1"/>
  </cellStyles>
  <dxfs count="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2"/>
    <pageSetUpPr fitToPage="1"/>
  </sheetPr>
  <dimension ref="A1:M113"/>
  <sheetViews>
    <sheetView tabSelected="1" zoomScale="85" zoomScaleNormal="85" zoomScaleSheetLayoutView="75" workbookViewId="0">
      <selection activeCell="E4" sqref="E4"/>
    </sheetView>
  </sheetViews>
  <sheetFormatPr defaultColWidth="9" defaultRowHeight="16.5" x14ac:dyDescent="0.3"/>
  <cols>
    <col min="1" max="1" width="5.375" style="1" customWidth="1"/>
    <col min="2" max="3" width="12.125" style="1" customWidth="1"/>
    <col min="4" max="4" width="58.875" style="1" customWidth="1"/>
    <col min="5" max="5" width="13.5" style="1" bestFit="1" customWidth="1"/>
    <col min="6" max="6" width="14.25" style="2" bestFit="1" customWidth="1"/>
    <col min="7" max="7" width="17.375" style="1" customWidth="1"/>
    <col min="8" max="8" width="9" style="1" customWidth="1"/>
    <col min="9" max="10" width="9.625" style="1" customWidth="1"/>
    <col min="11" max="11" width="3.75" style="1" customWidth="1"/>
    <col min="12" max="12" width="11.5" style="1" customWidth="1"/>
    <col min="13" max="13" width="9" style="1"/>
    <col min="14" max="14" width="37.25" style="1" bestFit="1" customWidth="1"/>
    <col min="15" max="16384" width="9" style="1"/>
  </cols>
  <sheetData>
    <row r="1" spans="1:13" ht="48" customHeight="1" thickBot="1" x14ac:dyDescent="0.35">
      <c r="A1" s="27" t="s">
        <v>0</v>
      </c>
      <c r="B1" s="27"/>
      <c r="C1" s="27"/>
      <c r="D1" s="27"/>
      <c r="E1" s="27"/>
      <c r="F1" s="27"/>
      <c r="G1" s="3">
        <f ca="1">TODAY()</f>
        <v>46156</v>
      </c>
    </row>
    <row r="2" spans="1:13" ht="42" customHeight="1" thickBot="1" x14ac:dyDescent="0.35">
      <c r="A2" s="24" t="s">
        <v>137</v>
      </c>
      <c r="B2" s="25"/>
      <c r="C2" s="25"/>
      <c r="D2" s="25"/>
      <c r="E2" s="25"/>
      <c r="F2" s="25"/>
      <c r="G2" s="26"/>
    </row>
    <row r="3" spans="1:13" s="4" customFormat="1" ht="21" customHeight="1" thickBot="1" x14ac:dyDescent="0.35">
      <c r="A3" s="5" t="s">
        <v>138</v>
      </c>
      <c r="B3" s="5" t="s">
        <v>1</v>
      </c>
      <c r="C3" s="5" t="s">
        <v>2</v>
      </c>
      <c r="D3" s="5" t="s">
        <v>134</v>
      </c>
      <c r="E3" s="6" t="s">
        <v>3</v>
      </c>
      <c r="F3" s="6" t="s">
        <v>107</v>
      </c>
      <c r="G3" s="6" t="s">
        <v>110</v>
      </c>
    </row>
    <row r="4" spans="1:13" ht="21" customHeight="1" thickBot="1" x14ac:dyDescent="0.35">
      <c r="A4" s="12">
        <v>1</v>
      </c>
      <c r="B4" s="8" t="s">
        <v>11</v>
      </c>
      <c r="C4" s="11">
        <v>7826065</v>
      </c>
      <c r="D4" s="11" t="s">
        <v>12</v>
      </c>
      <c r="E4" s="13">
        <v>25</v>
      </c>
      <c r="F4" s="14">
        <v>200</v>
      </c>
      <c r="G4" s="14"/>
    </row>
    <row r="5" spans="1:13" ht="21" customHeight="1" thickBot="1" x14ac:dyDescent="0.35">
      <c r="A5" s="12">
        <v>2</v>
      </c>
      <c r="B5" s="8" t="s">
        <v>14</v>
      </c>
      <c r="C5" s="11">
        <v>7860032</v>
      </c>
      <c r="D5" s="11" t="s">
        <v>15</v>
      </c>
      <c r="E5" s="13">
        <v>811</v>
      </c>
      <c r="F5" s="14"/>
      <c r="G5" s="14"/>
    </row>
    <row r="6" spans="1:13" ht="21" customHeight="1" thickBot="1" x14ac:dyDescent="0.35">
      <c r="A6" s="12">
        <v>3</v>
      </c>
      <c r="B6" s="8" t="s">
        <v>16</v>
      </c>
      <c r="C6" s="11">
        <v>7861019</v>
      </c>
      <c r="D6" s="11" t="s">
        <v>17</v>
      </c>
      <c r="E6" s="13">
        <v>1230</v>
      </c>
      <c r="F6" s="14"/>
      <c r="G6" s="14"/>
    </row>
    <row r="7" spans="1:13" s="4" customFormat="1" ht="21" customHeight="1" thickBot="1" x14ac:dyDescent="0.35">
      <c r="A7" s="12">
        <v>4</v>
      </c>
      <c r="B7" s="8" t="s">
        <v>157</v>
      </c>
      <c r="C7" s="11">
        <v>7866120</v>
      </c>
      <c r="D7" s="11" t="s">
        <v>54</v>
      </c>
      <c r="E7" s="13">
        <v>186</v>
      </c>
      <c r="F7" s="14">
        <v>500</v>
      </c>
      <c r="G7" s="14"/>
    </row>
    <row r="8" spans="1:13" s="4" customFormat="1" ht="21" customHeight="1" thickBot="1" x14ac:dyDescent="0.35">
      <c r="A8" s="12">
        <v>5</v>
      </c>
      <c r="B8" s="8" t="s">
        <v>55</v>
      </c>
      <c r="C8" s="11">
        <v>7866121</v>
      </c>
      <c r="D8" s="11" t="s">
        <v>56</v>
      </c>
      <c r="E8" s="13">
        <v>671</v>
      </c>
      <c r="F8" s="21"/>
      <c r="G8" s="14"/>
    </row>
    <row r="9" spans="1:13" s="4" customFormat="1" ht="21" customHeight="1" thickBot="1" x14ac:dyDescent="0.35">
      <c r="A9" s="12">
        <v>6</v>
      </c>
      <c r="B9" s="8" t="s">
        <v>91</v>
      </c>
      <c r="C9" s="11">
        <v>7866123</v>
      </c>
      <c r="D9" s="11" t="s">
        <v>18</v>
      </c>
      <c r="E9" s="13">
        <v>605</v>
      </c>
      <c r="F9" s="14"/>
      <c r="G9" s="14"/>
    </row>
    <row r="10" spans="1:13" s="4" customFormat="1" ht="21" customHeight="1" thickBot="1" x14ac:dyDescent="0.35">
      <c r="A10" s="12">
        <v>7</v>
      </c>
      <c r="B10" s="8" t="s">
        <v>92</v>
      </c>
      <c r="C10" s="11">
        <v>7866124</v>
      </c>
      <c r="D10" s="11" t="s">
        <v>19</v>
      </c>
      <c r="E10" s="13">
        <v>669</v>
      </c>
      <c r="F10" s="14">
        <v>117</v>
      </c>
      <c r="G10" s="14"/>
    </row>
    <row r="11" spans="1:13" s="4" customFormat="1" ht="21" customHeight="1" thickBot="1" x14ac:dyDescent="0.35">
      <c r="A11" s="12">
        <v>8</v>
      </c>
      <c r="B11" s="8" t="s">
        <v>93</v>
      </c>
      <c r="C11" s="11">
        <v>7866141</v>
      </c>
      <c r="D11" s="11" t="s">
        <v>20</v>
      </c>
      <c r="E11" s="13">
        <v>1359</v>
      </c>
      <c r="F11" s="14"/>
      <c r="G11" s="14"/>
    </row>
    <row r="12" spans="1:13" s="4" customFormat="1" ht="21" customHeight="1" thickBot="1" x14ac:dyDescent="0.35">
      <c r="A12" s="12">
        <v>9</v>
      </c>
      <c r="B12" s="8" t="s">
        <v>40</v>
      </c>
      <c r="C12" s="8" t="s">
        <v>111</v>
      </c>
      <c r="D12" s="8" t="s">
        <v>41</v>
      </c>
      <c r="E12" s="13">
        <v>664</v>
      </c>
      <c r="F12" s="14">
        <v>420</v>
      </c>
      <c r="G12" s="14"/>
      <c r="M12" s="4" t="s">
        <v>154</v>
      </c>
    </row>
    <row r="13" spans="1:13" s="4" customFormat="1" ht="21" customHeight="1" thickBot="1" x14ac:dyDescent="0.35">
      <c r="A13" s="12">
        <v>10</v>
      </c>
      <c r="B13" s="8" t="s">
        <v>42</v>
      </c>
      <c r="C13" s="8" t="s">
        <v>112</v>
      </c>
      <c r="D13" s="8" t="s">
        <v>43</v>
      </c>
      <c r="E13" s="13">
        <v>1734</v>
      </c>
      <c r="F13" s="14"/>
      <c r="G13" s="14"/>
    </row>
    <row r="14" spans="1:13" s="4" customFormat="1" ht="21.75" customHeight="1" thickBot="1" x14ac:dyDescent="0.35">
      <c r="A14" s="12">
        <v>11</v>
      </c>
      <c r="B14" s="8" t="s">
        <v>44</v>
      </c>
      <c r="C14" s="8" t="s">
        <v>113</v>
      </c>
      <c r="D14" s="8" t="s">
        <v>45</v>
      </c>
      <c r="E14" s="13">
        <v>209</v>
      </c>
      <c r="F14" s="14">
        <v>615</v>
      </c>
      <c r="G14" s="14"/>
    </row>
    <row r="15" spans="1:13" s="4" customFormat="1" ht="21" customHeight="1" thickBot="1" x14ac:dyDescent="0.35">
      <c r="A15" s="12">
        <v>12</v>
      </c>
      <c r="B15" s="8" t="s">
        <v>94</v>
      </c>
      <c r="C15" s="11">
        <v>7896032</v>
      </c>
      <c r="D15" s="11" t="s">
        <v>21</v>
      </c>
      <c r="E15" s="13">
        <v>47</v>
      </c>
      <c r="F15" s="14"/>
      <c r="G15" s="14"/>
    </row>
    <row r="16" spans="1:13" s="4" customFormat="1" ht="21" customHeight="1" thickBot="1" x14ac:dyDescent="0.35">
      <c r="A16" s="12">
        <v>13</v>
      </c>
      <c r="B16" s="8" t="s">
        <v>95</v>
      </c>
      <c r="C16" s="8">
        <v>8016014</v>
      </c>
      <c r="D16" s="8" t="s">
        <v>23</v>
      </c>
      <c r="E16" s="13">
        <v>1295</v>
      </c>
      <c r="F16" s="14"/>
      <c r="G16" s="14"/>
    </row>
    <row r="17" spans="1:7" s="4" customFormat="1" ht="21" customHeight="1" thickBot="1" x14ac:dyDescent="0.35">
      <c r="A17" s="12">
        <v>14</v>
      </c>
      <c r="B17" s="8" t="s">
        <v>96</v>
      </c>
      <c r="C17" s="11">
        <v>8022012</v>
      </c>
      <c r="D17" s="11" t="s">
        <v>24</v>
      </c>
      <c r="E17" s="13">
        <v>593</v>
      </c>
      <c r="F17" s="14">
        <f>500-128</f>
        <v>372</v>
      </c>
      <c r="G17" s="14"/>
    </row>
    <row r="18" spans="1:7" s="4" customFormat="1" ht="21" customHeight="1" thickBot="1" x14ac:dyDescent="0.35">
      <c r="A18" s="12">
        <v>15</v>
      </c>
      <c r="B18" s="8" t="s">
        <v>98</v>
      </c>
      <c r="C18" s="11">
        <v>8036005</v>
      </c>
      <c r="D18" s="11" t="s">
        <v>26</v>
      </c>
      <c r="E18" s="20">
        <v>355</v>
      </c>
      <c r="F18" s="14">
        <v>300</v>
      </c>
      <c r="G18" s="14"/>
    </row>
    <row r="19" spans="1:7" s="4" customFormat="1" ht="21" customHeight="1" thickBot="1" x14ac:dyDescent="0.35">
      <c r="A19" s="12">
        <v>16</v>
      </c>
      <c r="B19" s="8" t="s">
        <v>27</v>
      </c>
      <c r="C19" s="11">
        <v>8036006</v>
      </c>
      <c r="D19" s="11" t="s">
        <v>28</v>
      </c>
      <c r="E19" s="13">
        <v>804</v>
      </c>
      <c r="F19" s="14"/>
      <c r="G19" s="14"/>
    </row>
    <row r="20" spans="1:7" ht="21" customHeight="1" thickBot="1" x14ac:dyDescent="0.35">
      <c r="A20" s="15"/>
      <c r="B20" s="16"/>
      <c r="C20" s="17"/>
      <c r="D20" s="17"/>
      <c r="E20" s="18"/>
      <c r="F20" s="19"/>
      <c r="G20" s="19"/>
    </row>
    <row r="21" spans="1:7" ht="44.25" customHeight="1" thickBot="1" x14ac:dyDescent="0.35">
      <c r="A21" s="28" t="s">
        <v>139</v>
      </c>
      <c r="B21" s="28"/>
      <c r="C21" s="28"/>
      <c r="D21" s="28"/>
      <c r="E21" s="28"/>
      <c r="F21" s="28"/>
      <c r="G21" s="28"/>
    </row>
    <row r="22" spans="1:7" ht="21" customHeight="1" thickBot="1" x14ac:dyDescent="0.35">
      <c r="A22" s="12">
        <v>18</v>
      </c>
      <c r="B22" s="8" t="s">
        <v>142</v>
      </c>
      <c r="C22" s="11">
        <v>7837056</v>
      </c>
      <c r="D22" s="11" t="s">
        <v>144</v>
      </c>
      <c r="E22" s="13">
        <v>181</v>
      </c>
      <c r="F22" s="14"/>
      <c r="G22" s="14"/>
    </row>
    <row r="23" spans="1:7" ht="21" customHeight="1" thickBot="1" x14ac:dyDescent="0.35">
      <c r="A23" s="12">
        <v>19</v>
      </c>
      <c r="B23" s="8" t="s">
        <v>143</v>
      </c>
      <c r="C23" s="11">
        <v>7837057</v>
      </c>
      <c r="D23" s="11" t="s">
        <v>145</v>
      </c>
      <c r="E23" s="13">
        <v>152</v>
      </c>
      <c r="F23" s="14"/>
      <c r="G23" s="14"/>
    </row>
    <row r="24" spans="1:7" ht="21" customHeight="1" thickBot="1" x14ac:dyDescent="0.35">
      <c r="A24" s="12">
        <v>20</v>
      </c>
      <c r="B24" s="8" t="s">
        <v>151</v>
      </c>
      <c r="C24" s="11">
        <v>7837061</v>
      </c>
      <c r="D24" s="11" t="s">
        <v>13</v>
      </c>
      <c r="E24" s="13">
        <v>1228</v>
      </c>
      <c r="F24" s="14"/>
      <c r="G24" s="14"/>
    </row>
    <row r="25" spans="1:7" ht="21" customHeight="1" thickBot="1" x14ac:dyDescent="0.35">
      <c r="A25" s="12">
        <v>21</v>
      </c>
      <c r="B25" s="8" t="s">
        <v>89</v>
      </c>
      <c r="C25" s="11">
        <v>7810029</v>
      </c>
      <c r="D25" s="11" t="s">
        <v>9</v>
      </c>
      <c r="E25" s="9">
        <v>1449</v>
      </c>
      <c r="F25" s="10"/>
      <c r="G25" s="14"/>
    </row>
    <row r="26" spans="1:7" ht="21" customHeight="1" thickBot="1" x14ac:dyDescent="0.35">
      <c r="A26" s="12">
        <v>22</v>
      </c>
      <c r="B26" s="8" t="s">
        <v>90</v>
      </c>
      <c r="C26" s="11">
        <v>7826005</v>
      </c>
      <c r="D26" s="11" t="s">
        <v>10</v>
      </c>
      <c r="E26" s="9">
        <v>920</v>
      </c>
      <c r="F26" s="10"/>
      <c r="G26" s="14"/>
    </row>
    <row r="27" spans="1:7" ht="21" customHeight="1" thickBot="1" x14ac:dyDescent="0.35">
      <c r="A27" s="12">
        <v>23</v>
      </c>
      <c r="B27" s="8" t="s">
        <v>102</v>
      </c>
      <c r="C27" s="11">
        <v>7896024</v>
      </c>
      <c r="D27" s="11" t="s">
        <v>59</v>
      </c>
      <c r="E27" s="13">
        <v>48</v>
      </c>
      <c r="F27" s="14"/>
      <c r="G27" s="14"/>
    </row>
    <row r="28" spans="1:7" ht="21" customHeight="1" thickBot="1" x14ac:dyDescent="0.35">
      <c r="A28" s="12">
        <v>24</v>
      </c>
      <c r="B28" s="8" t="s">
        <v>68</v>
      </c>
      <c r="C28" s="11">
        <v>8012012</v>
      </c>
      <c r="D28" s="11" t="s">
        <v>24</v>
      </c>
      <c r="E28" s="13">
        <v>221</v>
      </c>
      <c r="F28" s="14">
        <v>500</v>
      </c>
      <c r="G28" s="14"/>
    </row>
    <row r="29" spans="1:7" ht="21" customHeight="1" thickBot="1" x14ac:dyDescent="0.35">
      <c r="A29" s="12">
        <v>25</v>
      </c>
      <c r="B29" s="8" t="s">
        <v>22</v>
      </c>
      <c r="C29" s="11">
        <v>8012013</v>
      </c>
      <c r="D29" s="11" t="s">
        <v>150</v>
      </c>
      <c r="E29" s="13">
        <v>1355</v>
      </c>
      <c r="F29" s="14"/>
      <c r="G29" s="14"/>
    </row>
    <row r="30" spans="1:7" ht="21" customHeight="1" thickBot="1" x14ac:dyDescent="0.35">
      <c r="A30" s="12">
        <v>26</v>
      </c>
      <c r="B30" s="11" t="s">
        <v>69</v>
      </c>
      <c r="C30" s="11">
        <v>8012016</v>
      </c>
      <c r="D30" s="11" t="s">
        <v>70</v>
      </c>
      <c r="E30" s="13">
        <v>219</v>
      </c>
      <c r="F30" s="14"/>
      <c r="G30" s="14"/>
    </row>
    <row r="31" spans="1:7" ht="21" customHeight="1" thickBot="1" x14ac:dyDescent="0.35">
      <c r="A31" s="12">
        <v>27</v>
      </c>
      <c r="B31" s="8" t="s">
        <v>97</v>
      </c>
      <c r="C31" s="11">
        <v>8026007</v>
      </c>
      <c r="D31" s="11" t="s">
        <v>25</v>
      </c>
      <c r="E31" s="13">
        <v>546</v>
      </c>
      <c r="F31" s="14"/>
      <c r="G31" s="14"/>
    </row>
    <row r="32" spans="1:7" ht="21" customHeight="1" thickBot="1" x14ac:dyDescent="0.35">
      <c r="A32" s="12">
        <v>28</v>
      </c>
      <c r="B32" s="8" t="s">
        <v>29</v>
      </c>
      <c r="C32" s="11">
        <v>8036009</v>
      </c>
      <c r="D32" s="11" t="s">
        <v>30</v>
      </c>
      <c r="E32" s="13">
        <v>266</v>
      </c>
      <c r="F32" s="14"/>
      <c r="G32" s="14"/>
    </row>
    <row r="33" spans="1:7" ht="21" customHeight="1" thickBot="1" x14ac:dyDescent="0.35">
      <c r="A33" s="12">
        <v>29</v>
      </c>
      <c r="B33" s="8" t="s">
        <v>76</v>
      </c>
      <c r="C33" s="11">
        <v>70600147</v>
      </c>
      <c r="D33" s="11" t="s">
        <v>77</v>
      </c>
      <c r="E33" s="13">
        <v>140</v>
      </c>
      <c r="F33" s="14"/>
      <c r="G33" s="14"/>
    </row>
    <row r="34" spans="1:7" ht="21" customHeight="1" thickBot="1" x14ac:dyDescent="0.35">
      <c r="A34" s="12">
        <v>30</v>
      </c>
      <c r="B34" s="8" t="s">
        <v>78</v>
      </c>
      <c r="C34" s="11">
        <v>8033001</v>
      </c>
      <c r="D34" s="11" t="s">
        <v>79</v>
      </c>
      <c r="E34" s="13">
        <v>286</v>
      </c>
      <c r="F34" s="14"/>
      <c r="G34" s="14"/>
    </row>
    <row r="35" spans="1:7" ht="21" customHeight="1" thickBot="1" x14ac:dyDescent="0.35">
      <c r="A35" s="12">
        <v>31</v>
      </c>
      <c r="B35" s="8" t="s">
        <v>80</v>
      </c>
      <c r="C35" s="11">
        <v>8033002</v>
      </c>
      <c r="D35" s="11" t="s">
        <v>81</v>
      </c>
      <c r="E35" s="13">
        <v>299</v>
      </c>
      <c r="F35" s="14"/>
      <c r="G35" s="14"/>
    </row>
    <row r="36" spans="1:7" ht="21" customHeight="1" thickBot="1" x14ac:dyDescent="0.35">
      <c r="A36" s="12">
        <v>32</v>
      </c>
      <c r="B36" s="8" t="s">
        <v>152</v>
      </c>
      <c r="C36" s="11"/>
      <c r="D36" s="11" t="s">
        <v>153</v>
      </c>
      <c r="E36" s="13">
        <v>735</v>
      </c>
      <c r="F36" s="14"/>
      <c r="G36" s="14"/>
    </row>
    <row r="37" spans="1:7" ht="21" customHeight="1" thickBot="1" x14ac:dyDescent="0.35">
      <c r="A37" s="12">
        <v>33</v>
      </c>
      <c r="B37" s="8" t="s">
        <v>31</v>
      </c>
      <c r="C37" s="8" t="s">
        <v>31</v>
      </c>
      <c r="D37" s="8" t="s">
        <v>32</v>
      </c>
      <c r="E37" s="13">
        <v>135</v>
      </c>
      <c r="F37" s="14"/>
      <c r="G37" s="14"/>
    </row>
    <row r="38" spans="1:7" ht="21" customHeight="1" thickBot="1" x14ac:dyDescent="0.35">
      <c r="A38" s="12">
        <v>34</v>
      </c>
      <c r="B38" s="8" t="s">
        <v>33</v>
      </c>
      <c r="C38" s="8" t="s">
        <v>33</v>
      </c>
      <c r="D38" s="8" t="s">
        <v>34</v>
      </c>
      <c r="E38" s="13">
        <v>1089</v>
      </c>
      <c r="F38" s="14"/>
      <c r="G38" s="14"/>
    </row>
    <row r="39" spans="1:7" ht="21" customHeight="1" thickBot="1" x14ac:dyDescent="0.35">
      <c r="A39" s="12">
        <v>35</v>
      </c>
      <c r="B39" s="8" t="s">
        <v>86</v>
      </c>
      <c r="C39" s="8">
        <v>8156010</v>
      </c>
      <c r="D39" s="8" t="s">
        <v>87</v>
      </c>
      <c r="E39" s="13">
        <v>131</v>
      </c>
      <c r="F39" s="14"/>
      <c r="G39" s="14"/>
    </row>
    <row r="40" spans="1:7" ht="21" customHeight="1" thickBot="1" x14ac:dyDescent="0.35">
      <c r="A40" s="12">
        <v>36</v>
      </c>
      <c r="B40" s="8" t="s">
        <v>135</v>
      </c>
      <c r="C40" s="11">
        <v>20013220</v>
      </c>
      <c r="D40" s="11" t="s">
        <v>136</v>
      </c>
      <c r="E40" s="13">
        <v>9</v>
      </c>
      <c r="F40" s="14">
        <v>41</v>
      </c>
      <c r="G40" s="14"/>
    </row>
    <row r="41" spans="1:7" ht="21" customHeight="1" thickBot="1" x14ac:dyDescent="0.35">
      <c r="A41" s="12">
        <v>37</v>
      </c>
      <c r="B41" s="8" t="s">
        <v>108</v>
      </c>
      <c r="C41" s="8">
        <v>20013340</v>
      </c>
      <c r="D41" s="8" t="s">
        <v>109</v>
      </c>
      <c r="E41" s="13">
        <v>134</v>
      </c>
      <c r="F41" s="14">
        <v>15</v>
      </c>
      <c r="G41" s="14"/>
    </row>
    <row r="42" spans="1:7" ht="21" customHeight="1" thickBot="1" x14ac:dyDescent="0.35">
      <c r="A42" s="12">
        <v>38</v>
      </c>
      <c r="B42" s="8" t="s">
        <v>114</v>
      </c>
      <c r="C42" s="8">
        <v>20013375</v>
      </c>
      <c r="D42" s="8" t="s">
        <v>116</v>
      </c>
      <c r="E42" s="13">
        <v>161</v>
      </c>
      <c r="F42" s="14"/>
      <c r="G42" s="14"/>
    </row>
    <row r="43" spans="1:7" ht="21" customHeight="1" thickBot="1" x14ac:dyDescent="0.35">
      <c r="A43" s="12">
        <v>39</v>
      </c>
      <c r="B43" s="8" t="s">
        <v>115</v>
      </c>
      <c r="C43" s="8"/>
      <c r="D43" s="8" t="s">
        <v>132</v>
      </c>
      <c r="E43" s="13">
        <v>21</v>
      </c>
      <c r="F43" s="14"/>
      <c r="G43" s="14"/>
    </row>
    <row r="44" spans="1:7" ht="21" customHeight="1" thickBot="1" x14ac:dyDescent="0.35">
      <c r="A44" s="12">
        <v>40</v>
      </c>
      <c r="B44" s="8" t="s">
        <v>126</v>
      </c>
      <c r="C44" s="8"/>
      <c r="D44" s="8" t="s">
        <v>127</v>
      </c>
      <c r="E44" s="13">
        <v>8</v>
      </c>
      <c r="F44" s="14">
        <v>50</v>
      </c>
      <c r="G44" s="14"/>
    </row>
    <row r="45" spans="1:7" ht="21.75" customHeight="1" thickBot="1" x14ac:dyDescent="0.35">
      <c r="A45" s="12">
        <v>41</v>
      </c>
      <c r="B45" s="8" t="s">
        <v>123</v>
      </c>
      <c r="C45" s="8"/>
      <c r="D45" s="8" t="s">
        <v>124</v>
      </c>
      <c r="E45" s="13">
        <v>1850</v>
      </c>
      <c r="F45" s="14"/>
      <c r="G45" s="14"/>
    </row>
    <row r="46" spans="1:7" ht="21.75" customHeight="1" thickBot="1" x14ac:dyDescent="0.35">
      <c r="A46" s="15"/>
      <c r="B46" s="16"/>
      <c r="C46" s="16"/>
      <c r="D46" s="16"/>
      <c r="E46" s="18"/>
      <c r="F46" s="19"/>
      <c r="G46" s="19"/>
    </row>
    <row r="47" spans="1:7" ht="57" customHeight="1" thickBot="1" x14ac:dyDescent="0.35">
      <c r="A47" s="22" t="s">
        <v>140</v>
      </c>
      <c r="B47" s="22"/>
      <c r="C47" s="22"/>
      <c r="D47" s="22"/>
      <c r="E47" s="22"/>
      <c r="F47" s="22"/>
      <c r="G47" s="22"/>
    </row>
    <row r="48" spans="1:7" ht="21" customHeight="1" thickBot="1" x14ac:dyDescent="0.35">
      <c r="A48" s="12">
        <v>44</v>
      </c>
      <c r="B48" s="8" t="s">
        <v>99</v>
      </c>
      <c r="C48" s="11">
        <v>7866147</v>
      </c>
      <c r="D48" s="11" t="s">
        <v>57</v>
      </c>
      <c r="E48" s="13">
        <v>508</v>
      </c>
      <c r="F48" s="14"/>
      <c r="G48" s="14"/>
    </row>
    <row r="49" spans="1:7" ht="21" customHeight="1" thickBot="1" x14ac:dyDescent="0.35">
      <c r="A49" s="12">
        <v>45</v>
      </c>
      <c r="B49" s="8" t="s">
        <v>100</v>
      </c>
      <c r="C49" s="11">
        <v>7866148</v>
      </c>
      <c r="D49" s="11" t="s">
        <v>58</v>
      </c>
      <c r="E49" s="13">
        <v>575</v>
      </c>
      <c r="F49" s="14"/>
      <c r="G49" s="14"/>
    </row>
    <row r="50" spans="1:7" ht="21" customHeight="1" thickBot="1" x14ac:dyDescent="0.35">
      <c r="A50" s="12">
        <v>46</v>
      </c>
      <c r="B50" s="8" t="s">
        <v>101</v>
      </c>
      <c r="C50" s="11">
        <v>7866149</v>
      </c>
      <c r="D50" s="11" t="s">
        <v>59</v>
      </c>
      <c r="E50" s="13">
        <v>452</v>
      </c>
      <c r="F50" s="14"/>
      <c r="G50" s="14"/>
    </row>
    <row r="51" spans="1:7" ht="21" customHeight="1" thickBot="1" x14ac:dyDescent="0.35">
      <c r="A51" s="12">
        <v>47</v>
      </c>
      <c r="B51" s="8" t="s">
        <v>103</v>
      </c>
      <c r="C51" s="11">
        <v>7896048</v>
      </c>
      <c r="D51" s="11" t="s">
        <v>60</v>
      </c>
      <c r="E51" s="13">
        <v>273</v>
      </c>
      <c r="F51" s="14"/>
      <c r="G51" s="14"/>
    </row>
    <row r="52" spans="1:7" ht="21" customHeight="1" thickBot="1" x14ac:dyDescent="0.35">
      <c r="A52" s="12">
        <v>48</v>
      </c>
      <c r="B52" s="8" t="s">
        <v>61</v>
      </c>
      <c r="C52" s="11">
        <v>7896049</v>
      </c>
      <c r="D52" s="11" t="s">
        <v>62</v>
      </c>
      <c r="E52" s="13">
        <v>115</v>
      </c>
      <c r="F52" s="14"/>
      <c r="G52" s="14"/>
    </row>
    <row r="53" spans="1:7" ht="21" customHeight="1" thickBot="1" x14ac:dyDescent="0.35">
      <c r="A53" s="12">
        <v>49</v>
      </c>
      <c r="B53" s="8" t="s">
        <v>63</v>
      </c>
      <c r="C53" s="11">
        <v>7896050</v>
      </c>
      <c r="D53" s="11" t="s">
        <v>64</v>
      </c>
      <c r="E53" s="13">
        <v>155</v>
      </c>
      <c r="F53" s="14"/>
      <c r="G53" s="14"/>
    </row>
    <row r="54" spans="1:7" ht="21" customHeight="1" thickBot="1" x14ac:dyDescent="0.35">
      <c r="A54" s="12">
        <v>50</v>
      </c>
      <c r="B54" s="8" t="s">
        <v>104</v>
      </c>
      <c r="C54" s="11">
        <v>7896086</v>
      </c>
      <c r="D54" s="11" t="s">
        <v>65</v>
      </c>
      <c r="E54" s="13">
        <v>118</v>
      </c>
      <c r="F54" s="14"/>
      <c r="G54" s="14"/>
    </row>
    <row r="55" spans="1:7" ht="21" customHeight="1" thickBot="1" x14ac:dyDescent="0.35">
      <c r="A55" s="12">
        <v>51</v>
      </c>
      <c r="B55" s="8" t="s">
        <v>66</v>
      </c>
      <c r="C55" s="11">
        <v>7896087</v>
      </c>
      <c r="D55" s="11" t="s">
        <v>67</v>
      </c>
      <c r="E55" s="13">
        <v>91</v>
      </c>
      <c r="F55" s="14"/>
      <c r="G55" s="14"/>
    </row>
    <row r="56" spans="1:7" ht="21" customHeight="1" thickBot="1" x14ac:dyDescent="0.35">
      <c r="A56" s="12">
        <v>52</v>
      </c>
      <c r="B56" s="8" t="s">
        <v>120</v>
      </c>
      <c r="C56" s="11">
        <v>7896123</v>
      </c>
      <c r="D56" s="11" t="s">
        <v>121</v>
      </c>
      <c r="E56" s="13">
        <v>100</v>
      </c>
      <c r="F56" s="14"/>
      <c r="G56" s="14"/>
    </row>
    <row r="57" spans="1:7" ht="21" customHeight="1" thickBot="1" x14ac:dyDescent="0.35">
      <c r="A57" s="12">
        <v>53</v>
      </c>
      <c r="B57" s="8" t="s">
        <v>71</v>
      </c>
      <c r="C57" s="11">
        <v>8022016</v>
      </c>
      <c r="D57" s="11" t="s">
        <v>70</v>
      </c>
      <c r="E57" s="13">
        <v>75</v>
      </c>
      <c r="F57" s="14"/>
      <c r="G57" s="14"/>
    </row>
    <row r="58" spans="1:7" ht="21" customHeight="1" thickBot="1" x14ac:dyDescent="0.35">
      <c r="A58" s="12">
        <v>54</v>
      </c>
      <c r="B58" s="8" t="s">
        <v>72</v>
      </c>
      <c r="C58" s="11">
        <v>8022023</v>
      </c>
      <c r="D58" s="11" t="s">
        <v>73</v>
      </c>
      <c r="E58" s="13">
        <v>204</v>
      </c>
      <c r="F58" s="14"/>
      <c r="G58" s="14"/>
    </row>
    <row r="59" spans="1:7" ht="21" customHeight="1" thickBot="1" x14ac:dyDescent="0.35">
      <c r="A59" s="12">
        <v>55</v>
      </c>
      <c r="B59" s="8" t="s">
        <v>74</v>
      </c>
      <c r="C59" s="11">
        <v>20076012</v>
      </c>
      <c r="D59" s="11" t="s">
        <v>75</v>
      </c>
      <c r="E59" s="13">
        <v>210</v>
      </c>
      <c r="F59" s="14"/>
      <c r="G59" s="14"/>
    </row>
    <row r="60" spans="1:7" ht="21" customHeight="1" thickBot="1" x14ac:dyDescent="0.35">
      <c r="A60" s="12">
        <v>56</v>
      </c>
      <c r="B60" s="8" t="s">
        <v>82</v>
      </c>
      <c r="C60" s="11">
        <v>8022022</v>
      </c>
      <c r="D60" s="11" t="s">
        <v>83</v>
      </c>
      <c r="E60" s="13">
        <v>200</v>
      </c>
      <c r="F60" s="14"/>
      <c r="G60" s="14"/>
    </row>
    <row r="61" spans="1:7" ht="21" customHeight="1" thickBot="1" x14ac:dyDescent="0.35">
      <c r="A61" s="12">
        <v>57</v>
      </c>
      <c r="B61" s="8" t="s">
        <v>84</v>
      </c>
      <c r="C61" s="8">
        <v>7826068</v>
      </c>
      <c r="D61" s="8" t="s">
        <v>85</v>
      </c>
      <c r="E61" s="13">
        <v>51</v>
      </c>
      <c r="F61" s="14"/>
      <c r="G61" s="14"/>
    </row>
    <row r="62" spans="1:7" ht="21" customHeight="1" thickBot="1" x14ac:dyDescent="0.35">
      <c r="A62" s="12">
        <v>58</v>
      </c>
      <c r="B62" s="8" t="s">
        <v>147</v>
      </c>
      <c r="C62" s="8"/>
      <c r="D62" s="8" t="s">
        <v>146</v>
      </c>
      <c r="E62" s="13">
        <v>17</v>
      </c>
      <c r="F62" s="14"/>
      <c r="G62" s="14"/>
    </row>
    <row r="63" spans="1:7" ht="21" customHeight="1" thickBot="1" x14ac:dyDescent="0.35">
      <c r="A63" s="12">
        <v>59</v>
      </c>
      <c r="B63" s="8" t="s">
        <v>148</v>
      </c>
      <c r="C63" s="8"/>
      <c r="D63" s="8" t="s">
        <v>149</v>
      </c>
      <c r="E63" s="13">
        <v>16</v>
      </c>
      <c r="F63" s="14">
        <v>50</v>
      </c>
      <c r="G63" s="14"/>
    </row>
    <row r="64" spans="1:7" ht="21" customHeight="1" thickBot="1" x14ac:dyDescent="0.35">
      <c r="A64" s="12">
        <v>60</v>
      </c>
      <c r="B64" s="8" t="s">
        <v>35</v>
      </c>
      <c r="C64" s="11" t="s">
        <v>36</v>
      </c>
      <c r="D64" s="11" t="s">
        <v>37</v>
      </c>
      <c r="E64" s="13">
        <v>50</v>
      </c>
      <c r="F64" s="14"/>
      <c r="G64" s="14"/>
    </row>
    <row r="65" spans="1:10" ht="21" customHeight="1" thickBot="1" x14ac:dyDescent="0.35">
      <c r="A65" s="12">
        <v>61</v>
      </c>
      <c r="B65" s="8" t="s">
        <v>38</v>
      </c>
      <c r="C65" s="11" t="s">
        <v>38</v>
      </c>
      <c r="D65" s="11" t="s">
        <v>39</v>
      </c>
      <c r="E65" s="13">
        <v>79</v>
      </c>
      <c r="F65" s="14"/>
      <c r="G65" s="14"/>
    </row>
    <row r="66" spans="1:10" ht="21.75" customHeight="1" thickBot="1" x14ac:dyDescent="0.35">
      <c r="A66" s="12">
        <v>62</v>
      </c>
      <c r="B66" s="8" t="s">
        <v>125</v>
      </c>
      <c r="C66" s="8"/>
      <c r="D66" s="8" t="s">
        <v>133</v>
      </c>
      <c r="E66" s="13">
        <v>52</v>
      </c>
      <c r="F66" s="14"/>
      <c r="G66" s="14"/>
    </row>
    <row r="67" spans="1:10" ht="21.75" customHeight="1" thickBot="1" x14ac:dyDescent="0.35">
      <c r="A67" s="12">
        <v>63</v>
      </c>
      <c r="B67" s="8" t="s">
        <v>117</v>
      </c>
      <c r="C67" s="8"/>
      <c r="D67" s="8" t="s">
        <v>130</v>
      </c>
      <c r="E67" s="13">
        <v>54</v>
      </c>
      <c r="F67" s="14">
        <v>63</v>
      </c>
      <c r="G67" s="14"/>
    </row>
    <row r="68" spans="1:10" ht="21.75" customHeight="1" thickBot="1" x14ac:dyDescent="0.35">
      <c r="A68" s="12">
        <v>64</v>
      </c>
      <c r="B68" s="8" t="s">
        <v>122</v>
      </c>
      <c r="C68" s="8"/>
      <c r="D68" s="8"/>
      <c r="E68" s="13">
        <v>19</v>
      </c>
      <c r="F68" s="14"/>
      <c r="G68" s="14"/>
    </row>
    <row r="69" spans="1:10" ht="21.75" customHeight="1" thickBot="1" x14ac:dyDescent="0.35">
      <c r="A69" s="12">
        <v>65</v>
      </c>
      <c r="B69" s="8" t="s">
        <v>128</v>
      </c>
      <c r="C69" s="8"/>
      <c r="D69" s="8" t="s">
        <v>129</v>
      </c>
      <c r="E69" s="13">
        <v>87</v>
      </c>
      <c r="F69" s="14"/>
      <c r="G69" s="14"/>
    </row>
    <row r="70" spans="1:10" ht="61.5" customHeight="1" thickBot="1" x14ac:dyDescent="0.35">
      <c r="A70" s="23" t="s">
        <v>141</v>
      </c>
      <c r="B70" s="23"/>
      <c r="C70" s="23"/>
      <c r="D70" s="23"/>
      <c r="E70" s="23"/>
      <c r="F70" s="23"/>
      <c r="G70" s="23"/>
      <c r="J70" s="1" t="s">
        <v>155</v>
      </c>
    </row>
    <row r="71" spans="1:10" ht="18" customHeight="1" thickBot="1" x14ac:dyDescent="0.35">
      <c r="A71" s="7">
        <v>1</v>
      </c>
      <c r="B71" s="8" t="s">
        <v>46</v>
      </c>
      <c r="C71" s="8">
        <v>7860104</v>
      </c>
      <c r="D71" s="8" t="s">
        <v>47</v>
      </c>
      <c r="E71" s="13">
        <v>23</v>
      </c>
      <c r="F71" s="10"/>
      <c r="G71" s="10"/>
    </row>
    <row r="72" spans="1:10" ht="18" customHeight="1" thickBot="1" x14ac:dyDescent="0.35">
      <c r="A72" s="7">
        <v>2</v>
      </c>
      <c r="B72" s="8" t="s">
        <v>4</v>
      </c>
      <c r="C72" s="8">
        <v>7860109</v>
      </c>
      <c r="D72" s="8" t="s">
        <v>5</v>
      </c>
      <c r="E72" s="13">
        <v>25</v>
      </c>
      <c r="F72" s="10"/>
      <c r="G72" s="10"/>
    </row>
    <row r="73" spans="1:10" ht="18" customHeight="1" thickBot="1" x14ac:dyDescent="0.35">
      <c r="A73" s="7">
        <v>3</v>
      </c>
      <c r="B73" s="8" t="s">
        <v>48</v>
      </c>
      <c r="C73" s="8">
        <v>7860110</v>
      </c>
      <c r="D73" s="8" t="s">
        <v>49</v>
      </c>
      <c r="E73" s="9">
        <v>26</v>
      </c>
      <c r="F73" s="10"/>
      <c r="G73" s="10"/>
    </row>
    <row r="74" spans="1:10" ht="18" customHeight="1" thickBot="1" x14ac:dyDescent="0.35">
      <c r="A74" s="7">
        <v>4</v>
      </c>
      <c r="B74" s="8" t="s">
        <v>50</v>
      </c>
      <c r="C74" s="8">
        <v>7890023</v>
      </c>
      <c r="D74" s="8" t="s">
        <v>51</v>
      </c>
      <c r="E74" s="9">
        <v>55</v>
      </c>
      <c r="F74" s="10"/>
      <c r="G74" s="10"/>
    </row>
    <row r="75" spans="1:10" ht="18" customHeight="1" thickBot="1" x14ac:dyDescent="0.35">
      <c r="A75" s="7">
        <v>5</v>
      </c>
      <c r="B75" s="8" t="s">
        <v>88</v>
      </c>
      <c r="C75" s="8">
        <v>7900004</v>
      </c>
      <c r="D75" s="8" t="s">
        <v>6</v>
      </c>
      <c r="E75" s="9">
        <v>92</v>
      </c>
      <c r="F75" s="10">
        <v>300</v>
      </c>
      <c r="G75" s="10"/>
    </row>
    <row r="76" spans="1:10" ht="18" customHeight="1" thickBot="1" x14ac:dyDescent="0.35">
      <c r="A76" s="7">
        <v>6</v>
      </c>
      <c r="B76" s="8" t="s">
        <v>52</v>
      </c>
      <c r="C76" s="8">
        <v>7960001</v>
      </c>
      <c r="D76" s="8" t="s">
        <v>53</v>
      </c>
      <c r="E76" s="9">
        <v>24</v>
      </c>
      <c r="F76" s="10">
        <v>60</v>
      </c>
      <c r="G76" s="10"/>
    </row>
    <row r="77" spans="1:10" ht="18" customHeight="1" thickBot="1" x14ac:dyDescent="0.35">
      <c r="A77" s="7">
        <v>7</v>
      </c>
      <c r="B77" s="8" t="s">
        <v>118</v>
      </c>
      <c r="C77" s="8"/>
      <c r="D77" s="8" t="s">
        <v>106</v>
      </c>
      <c r="E77" s="13">
        <v>26</v>
      </c>
      <c r="F77" s="10"/>
      <c r="G77" s="10"/>
    </row>
    <row r="78" spans="1:10" ht="18" customHeight="1" thickBot="1" x14ac:dyDescent="0.35">
      <c r="A78" s="7">
        <v>8</v>
      </c>
      <c r="B78" s="8" t="s">
        <v>156</v>
      </c>
      <c r="C78" s="8"/>
      <c r="D78" s="8" t="s">
        <v>106</v>
      </c>
      <c r="E78" s="13">
        <v>5</v>
      </c>
      <c r="F78" s="10"/>
      <c r="G78" s="10"/>
    </row>
    <row r="79" spans="1:10" ht="18" customHeight="1" thickBot="1" x14ac:dyDescent="0.35">
      <c r="A79" s="7">
        <v>9</v>
      </c>
      <c r="B79" s="8" t="s">
        <v>7</v>
      </c>
      <c r="C79" s="11"/>
      <c r="D79" s="8" t="s">
        <v>8</v>
      </c>
      <c r="E79" s="9">
        <v>40</v>
      </c>
      <c r="F79" s="10">
        <v>167</v>
      </c>
      <c r="G79" s="10"/>
    </row>
    <row r="80" spans="1:10" ht="18" customHeight="1" thickBot="1" x14ac:dyDescent="0.35">
      <c r="A80" s="7">
        <v>10</v>
      </c>
      <c r="B80" s="8" t="s">
        <v>119</v>
      </c>
      <c r="C80" s="11"/>
      <c r="D80" s="8" t="s">
        <v>106</v>
      </c>
      <c r="E80" s="9">
        <v>8</v>
      </c>
      <c r="F80" s="10"/>
      <c r="G80" s="10"/>
    </row>
    <row r="81" spans="1:7" ht="18" customHeight="1" thickBot="1" x14ac:dyDescent="0.35">
      <c r="A81" s="7">
        <v>11</v>
      </c>
      <c r="B81" s="8" t="s">
        <v>105</v>
      </c>
      <c r="C81" s="8"/>
      <c r="D81" s="8" t="s">
        <v>131</v>
      </c>
      <c r="E81" s="9">
        <v>57</v>
      </c>
      <c r="F81" s="10"/>
      <c r="G81" s="10"/>
    </row>
    <row r="82" spans="1:7" ht="15" customHeight="1" x14ac:dyDescent="0.3"/>
    <row r="83" spans="1:7" ht="15" customHeight="1" x14ac:dyDescent="0.3"/>
    <row r="84" spans="1:7" ht="15" customHeight="1" x14ac:dyDescent="0.3"/>
    <row r="85" spans="1:7" ht="15" customHeight="1" x14ac:dyDescent="0.3"/>
    <row r="86" spans="1:7" ht="15" customHeight="1" x14ac:dyDescent="0.3"/>
    <row r="87" spans="1:7" ht="15" customHeight="1" x14ac:dyDescent="0.3"/>
    <row r="88" spans="1:7" ht="15" customHeight="1" x14ac:dyDescent="0.3"/>
    <row r="89" spans="1:7" ht="15" customHeight="1" x14ac:dyDescent="0.3"/>
    <row r="90" spans="1:7" ht="15" customHeight="1" x14ac:dyDescent="0.3"/>
    <row r="91" spans="1:7" ht="15" customHeight="1" x14ac:dyDescent="0.3"/>
    <row r="92" spans="1:7" ht="15" customHeight="1" x14ac:dyDescent="0.3"/>
    <row r="93" spans="1:7" ht="15" customHeight="1" x14ac:dyDescent="0.3"/>
    <row r="94" spans="1:7" ht="15" customHeight="1" x14ac:dyDescent="0.3"/>
    <row r="95" spans="1:7" ht="15" customHeight="1" x14ac:dyDescent="0.3"/>
    <row r="96" spans="1:7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13" ht="15" customHeight="1" x14ac:dyDescent="0.3"/>
  </sheetData>
  <autoFilter ref="B3:E64">
    <sortState ref="A4:G80">
      <sortCondition ref="B3:B64"/>
    </sortState>
  </autoFilter>
  <mergeCells count="5">
    <mergeCell ref="A47:G47"/>
    <mergeCell ref="A70:G70"/>
    <mergeCell ref="A2:G2"/>
    <mergeCell ref="A1:F1"/>
    <mergeCell ref="A21:G21"/>
  </mergeCells>
  <phoneticPr fontId="3" type="noConversion"/>
  <conditionalFormatting sqref="E4:E20 E22:E46 E48:E69 E71:E81">
    <cfRule type="cellIs" dxfId="1" priority="3" operator="greaterThan">
      <formula>#REF!</formula>
    </cfRule>
    <cfRule type="cellIs" dxfId="0" priority="4" operator="lessThan">
      <formula>#REF!</formula>
    </cfRule>
  </conditionalFormatting>
  <pageMargins left="0.69972223043441772" right="0.69972223043441772" top="0.75" bottom="0.75" header="0.30000001192092896" footer="0.30000001192092896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부품 재고현황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KSP42</dc:creator>
  <cp:lastModifiedBy>user</cp:lastModifiedBy>
  <cp:lastPrinted>2026-03-19T07:48:29Z</cp:lastPrinted>
  <dcterms:created xsi:type="dcterms:W3CDTF">2023-10-11T08:20:07Z</dcterms:created>
  <dcterms:modified xsi:type="dcterms:W3CDTF">2026-05-14T03:40:48Z</dcterms:modified>
</cp:coreProperties>
</file>