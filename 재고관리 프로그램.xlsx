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usgn\Documents\카카오톡 받은 파일\"/>
    </mc:Choice>
  </mc:AlternateContent>
  <xr:revisionPtr revIDLastSave="0" documentId="13_ncr:1_{2332939C-97F3-43F8-9877-F8CEEAAD8C81}" xr6:coauthVersionLast="47" xr6:coauthVersionMax="47" xr10:uidLastSave="{00000000-0000-0000-0000-000000000000}"/>
  <bookViews>
    <workbookView xWindow="-108" yWindow="-108" windowWidth="23256" windowHeight="13896" activeTab="2" xr2:uid="{64952821-FAB5-4E35-8AD4-C27A855EA26F}"/>
  </bookViews>
  <sheets>
    <sheet name="품목별 사용 피팅 수량" sheetId="2" r:id="rId1"/>
    <sheet name="품목명" sheetId="1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0" i="1" l="1"/>
  <c r="G8" i="1"/>
  <c r="F6" i="1"/>
  <c r="G6" i="1"/>
  <c r="F34" i="1"/>
  <c r="F30" i="1"/>
  <c r="F22" i="1"/>
  <c r="F16" i="1"/>
  <c r="G38" i="1" l="1"/>
  <c r="G50" i="1"/>
  <c r="G26" i="1"/>
  <c r="G28" i="1"/>
  <c r="F44" i="1"/>
  <c r="F40" i="1" l="1"/>
  <c r="H16" i="1"/>
  <c r="F18" i="1"/>
  <c r="H18" i="1" s="1"/>
  <c r="G72" i="1"/>
  <c r="F66" i="1"/>
  <c r="H20" i="1"/>
  <c r="F46" i="1"/>
  <c r="G44" i="1"/>
  <c r="G42" i="1"/>
  <c r="G40" i="1"/>
  <c r="F94" i="1"/>
  <c r="F92" i="1"/>
  <c r="G52" i="1"/>
  <c r="G48" i="1"/>
  <c r="F48" i="1"/>
  <c r="F108" i="1"/>
  <c r="F8" i="1"/>
  <c r="H6" i="1"/>
  <c r="H22" i="1" l="1"/>
  <c r="H10" i="1"/>
  <c r="H26" i="1"/>
  <c r="H30" i="1"/>
  <c r="H34" i="1"/>
  <c r="H8" i="1"/>
  <c r="H102" i="1" l="1"/>
  <c r="H88" i="1"/>
  <c r="H90" i="1"/>
  <c r="H92" i="1"/>
  <c r="H94" i="1"/>
  <c r="H96" i="1"/>
  <c r="H98" i="1"/>
  <c r="H100" i="1"/>
  <c r="H86" i="1"/>
  <c r="H80" i="1"/>
  <c r="H68" i="1"/>
  <c r="H70" i="1"/>
  <c r="H74" i="1"/>
  <c r="H76" i="1"/>
  <c r="H78" i="1"/>
  <c r="H64" i="1"/>
  <c r="H56" i="1"/>
  <c r="H54" i="1"/>
  <c r="H50" i="1"/>
  <c r="H40" i="1"/>
  <c r="H42" i="1"/>
  <c r="H44" i="1"/>
  <c r="H46" i="1"/>
  <c r="H48" i="1"/>
  <c r="H38" i="1"/>
  <c r="H72" i="1"/>
  <c r="H66" i="1"/>
  <c r="H105" i="1"/>
  <c r="H104" i="1"/>
  <c r="H103" i="1"/>
</calcChain>
</file>

<file path=xl/sharedStrings.xml><?xml version="1.0" encoding="utf-8"?>
<sst xmlns="http://schemas.openxmlformats.org/spreadsheetml/2006/main" count="465" uniqueCount="313">
  <si>
    <t>기존 품번</t>
    <phoneticPr fontId="1" type="noConversion"/>
  </si>
  <si>
    <t>품명(부품명)</t>
  </si>
  <si>
    <t>MD000014</t>
  </si>
  <si>
    <t>Cooling Plate, DD255 Hot, A6061-T6</t>
  </si>
  <si>
    <t>MD000044</t>
  </si>
  <si>
    <t>Module Assy, MK1400 Cold Housing Lower Cooling Plate</t>
  </si>
  <si>
    <t>MA000014</t>
  </si>
  <si>
    <t>MD000137</t>
  </si>
  <si>
    <t>Module Assy, HD DE Plate Right Cooling Plate</t>
  </si>
  <si>
    <t>A867002</t>
  </si>
  <si>
    <t>MA000058</t>
  </si>
  <si>
    <t>MD000138</t>
  </si>
  <si>
    <t>Module Assy, HD DE Plate Left Cooling Plate</t>
  </si>
  <si>
    <t>A867003</t>
  </si>
  <si>
    <t>MA000059</t>
  </si>
  <si>
    <t>MD000139</t>
  </si>
  <si>
    <t>Module Assy, HD Housing Right Cooling Plate</t>
  </si>
  <si>
    <t>A867004</t>
  </si>
  <si>
    <t>MA000060</t>
  </si>
  <si>
    <t>MD000140</t>
  </si>
  <si>
    <t>Module Assy, HD Housing Left Cooling Plate</t>
  </si>
  <si>
    <t>A867005</t>
  </si>
  <si>
    <t>MA000061</t>
  </si>
  <si>
    <t>MD000141</t>
  </si>
  <si>
    <t>Module Assy, HD DE Cover Upper Cooling Plate</t>
  </si>
  <si>
    <t>A867006</t>
  </si>
  <si>
    <t>MA000062</t>
  </si>
  <si>
    <t>MD000142</t>
  </si>
  <si>
    <t>Module Assy, HD DE Cover Lower Cooling Plate</t>
  </si>
  <si>
    <t>A867007</t>
  </si>
  <si>
    <t>MA000063</t>
  </si>
  <si>
    <t>MD000203</t>
  </si>
  <si>
    <t>Module Assy, HD200 Cold Housing Upper Cooling Plate</t>
  </si>
  <si>
    <t>A867015</t>
  </si>
  <si>
    <t>MA000071</t>
  </si>
  <si>
    <t>MD000204</t>
  </si>
  <si>
    <t>Module Assy, HD200 Cold Housing Lower Cooling Plate</t>
  </si>
  <si>
    <t>A867016</t>
  </si>
  <si>
    <t>MA000072</t>
  </si>
  <si>
    <t>MD000183</t>
  </si>
  <si>
    <t>Module Assy, HD550 Motor Side Cover Bottom Cooling Plate</t>
  </si>
  <si>
    <t>A867054</t>
  </si>
  <si>
    <t>MA000092</t>
  </si>
  <si>
    <t>MD000206</t>
  </si>
  <si>
    <t>Module Assy, HD120H Rotor Housing Left Cooling Plate</t>
  </si>
  <si>
    <t>A867067</t>
  </si>
  <si>
    <t>MA000105</t>
  </si>
  <si>
    <t>MD000220</t>
  </si>
  <si>
    <t>Module Assy, HD550PW Motor Side Plate Right Cooling Plate (Seal_Puge)</t>
  </si>
  <si>
    <t>A867068</t>
  </si>
  <si>
    <t>MA000106</t>
  </si>
  <si>
    <t>MD000283</t>
  </si>
  <si>
    <t>Module Assy, RD3009L NDEC Upper Cooling Plate</t>
  </si>
  <si>
    <t>A897002</t>
  </si>
  <si>
    <t>MA000115</t>
  </si>
  <si>
    <t>MD000281</t>
  </si>
  <si>
    <t>Module Assy, RD3009L NDEC Bottom Cooling Plate</t>
  </si>
  <si>
    <t>A897003</t>
  </si>
  <si>
    <t>MA000116</t>
  </si>
  <si>
    <t>MD000282</t>
  </si>
  <si>
    <t>Module Assy, RD3009L NDEC Rear Cooling Plate</t>
  </si>
  <si>
    <t>A897004</t>
  </si>
  <si>
    <t>MA000117</t>
  </si>
  <si>
    <t>MD000136</t>
  </si>
  <si>
    <t>Module Assy,,HD NDEC  Cooling Plate</t>
  </si>
  <si>
    <t>A867001</t>
  </si>
  <si>
    <t>MA000057</t>
  </si>
  <si>
    <t>MD000082</t>
  </si>
  <si>
    <t>Module Assy, LD120 DEP Upper Cooling Plate</t>
  </si>
  <si>
    <t>A847003</t>
  </si>
  <si>
    <t>MA000025</t>
  </si>
  <si>
    <t>MD000078</t>
  </si>
  <si>
    <t>Module Assy, LD120 Rotor Housing Upper Cooling Plate</t>
  </si>
  <si>
    <t>A847004</t>
  </si>
  <si>
    <t>MA000026</t>
  </si>
  <si>
    <t>MD000081</t>
  </si>
  <si>
    <t>Module Assy, LD120 Rotor Housing Lower Cooling Plate</t>
  </si>
  <si>
    <t>A847005</t>
  </si>
  <si>
    <t>MA000027</t>
  </si>
  <si>
    <t>MD000083</t>
  </si>
  <si>
    <t>Module Assy, LD120 DEC Lower Cooling Plate</t>
  </si>
  <si>
    <t>A847006</t>
  </si>
  <si>
    <t>MA000028</t>
  </si>
  <si>
    <t>MD000085</t>
  </si>
  <si>
    <t>Module Assy, LD120 NDEC Lower Cooling Plate</t>
  </si>
  <si>
    <t>A847007</t>
  </si>
  <si>
    <t>MA000029</t>
  </si>
  <si>
    <t>MD000212</t>
  </si>
  <si>
    <t>Module Assy, HD120 Cold Housing Lower Cooling Plate</t>
  </si>
  <si>
    <t>A867010</t>
  </si>
  <si>
    <t>MA000066</t>
  </si>
  <si>
    <t>A867011</t>
  </si>
  <si>
    <t>MA000067</t>
  </si>
  <si>
    <t>MD000147</t>
  </si>
  <si>
    <t>A867012</t>
  </si>
  <si>
    <t>MA000068</t>
  </si>
  <si>
    <t>MD000148</t>
  </si>
  <si>
    <t>A867013</t>
  </si>
  <si>
    <t>MA000069</t>
  </si>
  <si>
    <t>A867014</t>
  </si>
  <si>
    <t>MA000070</t>
  </si>
  <si>
    <t>Module Assy, HD120 Cold DE Plate Right Cooling Plate</t>
  </si>
  <si>
    <t>A867020</t>
  </si>
  <si>
    <t>MA000074</t>
  </si>
  <si>
    <t>Module Assy, HD120 Cold Housing Upper Cooling Plate</t>
  </si>
  <si>
    <t>A867021</t>
  </si>
  <si>
    <t>MA000075</t>
  </si>
  <si>
    <t>Module Assy, HD300H Rotor Housing Side Cooling Plate</t>
  </si>
  <si>
    <t>A867031</t>
  </si>
  <si>
    <t>MA000082</t>
  </si>
  <si>
    <t>MD000207</t>
  </si>
  <si>
    <t>Module Assy, HD300 Hot Right Cooling Plate</t>
  </si>
  <si>
    <t>A867032</t>
  </si>
  <si>
    <t>MA000083</t>
  </si>
  <si>
    <t>MD000208</t>
  </si>
  <si>
    <t>Module Assy, HD300 Cold Rotor Housing Upper Cooling Plate</t>
  </si>
  <si>
    <t>A867033</t>
  </si>
  <si>
    <t>MA000084</t>
  </si>
  <si>
    <t>MD000209</t>
  </si>
  <si>
    <t>Module Assy, HD300 Cold Rotor Housing Lower Cooling Plate</t>
  </si>
  <si>
    <t>MA000085</t>
  </si>
  <si>
    <t>MD000222</t>
  </si>
  <si>
    <t>Module Assy, HD3000 Backing Inverter Cooling Plate</t>
  </si>
  <si>
    <t>A867035</t>
  </si>
  <si>
    <t>MA000086</t>
  </si>
  <si>
    <t>MD000223</t>
  </si>
  <si>
    <t>Module Assy, HD3000 Blower Inverter Cooling Plate</t>
  </si>
  <si>
    <t>A867036</t>
  </si>
  <si>
    <t>MA000087</t>
  </si>
  <si>
    <t>Module Assy, HD200 Hot Housing Right Cooling Plate</t>
  </si>
  <si>
    <t>A867042</t>
  </si>
  <si>
    <t>MA000089</t>
  </si>
  <si>
    <t>Module Assy, HD200H Rotor Housing Left Cooling Plate</t>
  </si>
  <si>
    <t>A867043</t>
  </si>
  <si>
    <t>MA000090</t>
  </si>
  <si>
    <t>MD000181</t>
  </si>
  <si>
    <t>Module Assy, HD550 Gear Side Plate Left Cooling Plate</t>
  </si>
  <si>
    <t>A867055</t>
  </si>
  <si>
    <t>MA000093</t>
  </si>
  <si>
    <t>MD000180</t>
  </si>
  <si>
    <t>Module Assy, HD550 Gear Side Plate Right Cooling Plate</t>
  </si>
  <si>
    <t>A867056</t>
  </si>
  <si>
    <t>MA000094</t>
  </si>
  <si>
    <t>MD000178</t>
  </si>
  <si>
    <t>Module Assy, HD550 Rotor Housing Bottom Cooling Plate</t>
  </si>
  <si>
    <t>A867057</t>
  </si>
  <si>
    <t>MA000095</t>
  </si>
  <si>
    <t>MD000177</t>
  </si>
  <si>
    <t>Module Assy, HD550 Rotor Housing Upper Cooling Plate</t>
  </si>
  <si>
    <t>A867058</t>
  </si>
  <si>
    <t>MA000096</t>
  </si>
  <si>
    <t>MD000176</t>
  </si>
  <si>
    <t>Module Assy, HD550 Rotor Housing-Lobe Housing Upper Cooling Plate</t>
  </si>
  <si>
    <t>A867059</t>
  </si>
  <si>
    <t>MA000097</t>
  </si>
  <si>
    <t>MD000175</t>
  </si>
  <si>
    <t>Module Assy, HD550 Rotor Housing-Lobe Housing Bottom Cooling Plate</t>
  </si>
  <si>
    <t>A867060</t>
  </si>
  <si>
    <t>MA000098</t>
  </si>
  <si>
    <t>MD000174</t>
  </si>
  <si>
    <t>Module Assy, HD550 Rotor Housing-Lobe Housing Side Right Cooling Plate</t>
  </si>
  <si>
    <t>A867061</t>
  </si>
  <si>
    <t>MA000099</t>
  </si>
  <si>
    <t>Module Assy, HD550 Rotor Housing-Lobe Housing Side Left Cooling Plate</t>
  </si>
  <si>
    <t>A867062</t>
  </si>
  <si>
    <t>MA000100</t>
  </si>
  <si>
    <t>MD000238</t>
  </si>
  <si>
    <t>Module Assy, GD400/HD550 Plate Lower Cooling Plate</t>
  </si>
  <si>
    <t>A867065</t>
  </si>
  <si>
    <t>MA000103</t>
  </si>
  <si>
    <t>MD000704</t>
  </si>
  <si>
    <t>Module Assy, Cooling Plate Motor Side Left</t>
  </si>
  <si>
    <t>MA000101</t>
  </si>
  <si>
    <t>MD000218</t>
  </si>
  <si>
    <t>Module Assy, HD550 NDEC Upper Cooling Plate</t>
  </si>
  <si>
    <t>A867069</t>
  </si>
  <si>
    <t>MA000107</t>
  </si>
  <si>
    <t>MD000089</t>
  </si>
  <si>
    <t>Module Assy, MK3000/2400 Rev2 DEC Cooling Plate</t>
  </si>
  <si>
    <t>A867070</t>
  </si>
  <si>
    <t>MA000108</t>
  </si>
  <si>
    <t>MD000090</t>
  </si>
  <si>
    <t>Module Assy, MK3000/2400 Rev2 NDEC Lower Cooling Plate</t>
  </si>
  <si>
    <t>A867071</t>
  </si>
  <si>
    <t>MA000109</t>
  </si>
  <si>
    <t xml:space="preserve"> Module Assy, Cooling Plate,HD200H RH Right</t>
  </si>
  <si>
    <t>A867018</t>
  </si>
  <si>
    <t>MA000073</t>
  </si>
  <si>
    <t>Module Assy, HD550 Motor Side Plate Right Cooling Plate</t>
  </si>
  <si>
    <t>MA000102</t>
  </si>
  <si>
    <t>MD000013</t>
  </si>
  <si>
    <t>Module Assy, WS1001 Side Cooling Plate</t>
  </si>
  <si>
    <t>MA000022</t>
  </si>
  <si>
    <t>조립 품번</t>
    <phoneticPr fontId="1" type="noConversion"/>
  </si>
  <si>
    <t>신품번</t>
    <phoneticPr fontId="1" type="noConversion"/>
  </si>
  <si>
    <t>신 조립품번</t>
    <phoneticPr fontId="1" type="noConversion"/>
  </si>
  <si>
    <t>MD000811</t>
  </si>
  <si>
    <t>MD000812</t>
  </si>
  <si>
    <t>MD000813</t>
  </si>
  <si>
    <t>MD000909</t>
  </si>
  <si>
    <t>MD000783</t>
  </si>
  <si>
    <t>MD001198</t>
  </si>
  <si>
    <t xml:space="preserve"> MA000495</t>
  </si>
  <si>
    <t xml:space="preserve"> MA000504</t>
  </si>
  <si>
    <t xml:space="preserve"> MA000505</t>
  </si>
  <si>
    <t xml:space="preserve"> MA000506</t>
  </si>
  <si>
    <t xml:space="preserve"> MA000561</t>
  </si>
  <si>
    <t xml:space="preserve"> MA000565</t>
  </si>
  <si>
    <t xml:space="preserve"> MA000735</t>
  </si>
  <si>
    <t>COOLING BLOCK ASSY_DEC BOTTOM_HD600</t>
    <phoneticPr fontId="1" type="noConversion"/>
  </si>
  <si>
    <t>COOLING BLOCK ASSY_ROTOR HOUSING-LOBE HOUSING SIDE RIGHT_HD550</t>
    <phoneticPr fontId="1" type="noConversion"/>
  </si>
  <si>
    <t>COOLING BLOCK ASSY_ROTOR HOUSING BOTTOM_MK3000</t>
    <phoneticPr fontId="1" type="noConversion"/>
  </si>
  <si>
    <t>COOLING BLOCK ASSY_ROTOR HOUSING BOTTOM_COOLING AREA 40% HD200</t>
    <phoneticPr fontId="1" type="noConversion"/>
  </si>
  <si>
    <t>COOLING BLOCK ASSY_ROTOR HOUSING TOP_COOLING AREA 40% HD200</t>
    <phoneticPr fontId="1" type="noConversion"/>
  </si>
  <si>
    <t>COOLING BLOCK ASSY_DRIVE END COVER BOTTOM_COOLING AREA 20% HD200</t>
    <phoneticPr fontId="1" type="noConversion"/>
  </si>
  <si>
    <t>COOLING PLATE ASSY_DP_DE PLATE_SIDE HD2000M</t>
    <phoneticPr fontId="1" type="noConversion"/>
  </si>
  <si>
    <t>COOLING PLATE ASSY_DP_DE PLATE_RIGHT_HD2000M</t>
    <phoneticPr fontId="1" type="noConversion"/>
  </si>
  <si>
    <t>COOLING BLOCK ASSY_BLOWER PUMP HOUSING_HD2000S</t>
    <phoneticPr fontId="1" type="noConversion"/>
  </si>
  <si>
    <t>MA000566</t>
    <phoneticPr fontId="1" type="noConversion"/>
  </si>
  <si>
    <t>MA000501</t>
    <phoneticPr fontId="1" type="noConversion"/>
  </si>
  <si>
    <t>소재 재고</t>
    <phoneticPr fontId="1" type="noConversion"/>
  </si>
  <si>
    <t>B</t>
    <phoneticPr fontId="1" type="noConversion"/>
  </si>
  <si>
    <t>MA000841</t>
    <phoneticPr fontId="1" type="noConversion"/>
  </si>
  <si>
    <t>완제품 재고</t>
    <phoneticPr fontId="1" type="noConversion"/>
  </si>
  <si>
    <t>C</t>
    <phoneticPr fontId="1" type="noConversion"/>
  </si>
  <si>
    <t>A</t>
    <phoneticPr fontId="1" type="noConversion"/>
  </si>
  <si>
    <t>합계</t>
    <phoneticPr fontId="1" type="noConversion"/>
  </si>
  <si>
    <t>A867034</t>
    <phoneticPr fontId="1" type="noConversion"/>
  </si>
  <si>
    <t>A826006</t>
    <phoneticPr fontId="1" type="noConversion"/>
  </si>
  <si>
    <t>A867063</t>
    <phoneticPr fontId="1" type="noConversion"/>
  </si>
  <si>
    <t>A867064</t>
    <phoneticPr fontId="1" type="noConversion"/>
  </si>
  <si>
    <t>A827020</t>
    <phoneticPr fontId="1" type="noConversion"/>
  </si>
  <si>
    <t xml:space="preserve">  </t>
    <phoneticPr fontId="1" type="noConversion"/>
  </si>
  <si>
    <t>품목명</t>
    <phoneticPr fontId="1" type="noConversion"/>
  </si>
  <si>
    <t>피팅 번호</t>
    <phoneticPr fontId="1" type="noConversion"/>
  </si>
  <si>
    <t>피팅 수량</t>
    <phoneticPr fontId="1" type="noConversion"/>
  </si>
  <si>
    <t>MA000020</t>
    <phoneticPr fontId="1" type="noConversion"/>
  </si>
  <si>
    <t>SA000320</t>
  </si>
  <si>
    <t>SA000350</t>
  </si>
  <si>
    <t>SA000258</t>
    <phoneticPr fontId="1" type="noConversion"/>
  </si>
  <si>
    <t>MA000021</t>
    <phoneticPr fontId="1" type="noConversion"/>
  </si>
  <si>
    <t>SA000354</t>
  </si>
  <si>
    <t>SA000313</t>
  </si>
  <si>
    <t>SA000662</t>
    <phoneticPr fontId="1" type="noConversion"/>
  </si>
  <si>
    <t>SA000253</t>
  </si>
  <si>
    <t>SA001480</t>
    <phoneticPr fontId="1" type="noConversion"/>
  </si>
  <si>
    <t>MA000075</t>
    <phoneticPr fontId="1" type="noConversion"/>
  </si>
  <si>
    <t>MA000108</t>
    <phoneticPr fontId="1" type="noConversion"/>
  </si>
  <si>
    <t>MA000082</t>
    <phoneticPr fontId="1" type="noConversion"/>
  </si>
  <si>
    <t>MA000025</t>
    <phoneticPr fontId="1" type="noConversion"/>
  </si>
  <si>
    <t>SA000314</t>
  </si>
  <si>
    <t>MA000109</t>
    <phoneticPr fontId="1" type="noConversion"/>
  </si>
  <si>
    <t>SA000359</t>
    <phoneticPr fontId="1" type="noConversion"/>
  </si>
  <si>
    <t>SA000351</t>
  </si>
  <si>
    <t>MA000086</t>
    <phoneticPr fontId="1" type="noConversion"/>
  </si>
  <si>
    <t>MA000114</t>
    <phoneticPr fontId="1" type="noConversion"/>
  </si>
  <si>
    <t>SA000321</t>
  </si>
  <si>
    <t>MA000115</t>
    <phoneticPr fontId="1" type="noConversion"/>
  </si>
  <si>
    <t>MA000057</t>
    <phoneticPr fontId="1" type="noConversion"/>
  </si>
  <si>
    <t>MA000089</t>
    <phoneticPr fontId="1" type="noConversion"/>
  </si>
  <si>
    <t>MA000264</t>
    <phoneticPr fontId="1" type="noConversion"/>
  </si>
  <si>
    <t>MA000092</t>
    <phoneticPr fontId="1" type="noConversion"/>
  </si>
  <si>
    <t>SA000359</t>
  </si>
  <si>
    <t>SA000254</t>
  </si>
  <si>
    <t>MA000459</t>
    <phoneticPr fontId="1" type="noConversion"/>
  </si>
  <si>
    <t>MA000093</t>
    <phoneticPr fontId="1" type="noConversion"/>
  </si>
  <si>
    <t>SA000642</t>
    <phoneticPr fontId="1" type="noConversion"/>
  </si>
  <si>
    <t>MA000504</t>
    <phoneticPr fontId="1" type="noConversion"/>
  </si>
  <si>
    <t>SA000253</t>
    <phoneticPr fontId="1" type="noConversion"/>
  </si>
  <si>
    <t>SA000313</t>
    <phoneticPr fontId="1" type="noConversion"/>
  </si>
  <si>
    <t>MA000064</t>
    <phoneticPr fontId="1" type="noConversion"/>
  </si>
  <si>
    <t>MA000097</t>
    <phoneticPr fontId="1" type="noConversion"/>
  </si>
  <si>
    <t>MA000505</t>
    <phoneticPr fontId="1" type="noConversion"/>
  </si>
  <si>
    <t>SA000356</t>
    <phoneticPr fontId="1" type="noConversion"/>
  </si>
  <si>
    <t>MA000098</t>
    <phoneticPr fontId="1" type="noConversion"/>
  </si>
  <si>
    <t>SA000254</t>
    <phoneticPr fontId="1" type="noConversion"/>
  </si>
  <si>
    <t>MA000506</t>
  </si>
  <si>
    <t>MA000066</t>
    <phoneticPr fontId="1" type="noConversion"/>
  </si>
  <si>
    <t>SA000329</t>
  </si>
  <si>
    <t>MA000099</t>
    <phoneticPr fontId="1" type="noConversion"/>
  </si>
  <si>
    <t>MA000100</t>
    <phoneticPr fontId="1" type="noConversion"/>
  </si>
  <si>
    <t>SA000350</t>
    <phoneticPr fontId="1" type="noConversion"/>
  </si>
  <si>
    <t>MA000617</t>
    <phoneticPr fontId="1" type="noConversion"/>
  </si>
  <si>
    <t>MA000101</t>
    <phoneticPr fontId="1" type="noConversion"/>
  </si>
  <si>
    <t>SA001480</t>
  </si>
  <si>
    <t>SA000680</t>
    <phoneticPr fontId="1" type="noConversion"/>
  </si>
  <si>
    <t>MA000102</t>
    <phoneticPr fontId="1" type="noConversion"/>
  </si>
  <si>
    <t>SA000681</t>
  </si>
  <si>
    <t>MA000070</t>
    <phoneticPr fontId="1" type="noConversion"/>
  </si>
  <si>
    <t>MA000071</t>
    <phoneticPr fontId="1" type="noConversion"/>
  </si>
  <si>
    <t>SA000356</t>
  </si>
  <si>
    <t>SA000682</t>
  </si>
  <si>
    <t>MA000072</t>
    <phoneticPr fontId="1" type="noConversion"/>
  </si>
  <si>
    <t>MA000103</t>
    <phoneticPr fontId="1" type="noConversion"/>
  </si>
  <si>
    <t>MA000105</t>
    <phoneticPr fontId="1" type="noConversion"/>
  </si>
  <si>
    <t>MA000735</t>
    <phoneticPr fontId="1" type="noConversion"/>
  </si>
  <si>
    <t>MA000073</t>
    <phoneticPr fontId="1" type="noConversion"/>
  </si>
  <si>
    <t>MA000106</t>
    <phoneticPr fontId="1" type="noConversion"/>
  </si>
  <si>
    <t>MA000777</t>
    <phoneticPr fontId="1" type="noConversion"/>
  </si>
  <si>
    <t>MA000785</t>
    <phoneticPr fontId="1" type="noConversion"/>
  </si>
  <si>
    <t>SA000320</t>
    <phoneticPr fontId="1" type="noConversion"/>
  </si>
  <si>
    <t>구조를 정리하면 BOM(자재구성) + 공정 흐름 형태로 관리해야 하는 상황이야.</t>
  </si>
  <si>
    <t>현재 관계는 아래처럼 이해하면 된다.</t>
  </si>
  <si>
    <t>[1. 알루미늄 원소재]</t>
  </si>
  <si>
    <t xml:space="preserve">        │</t>
  </si>
  <si>
    <t xml:space="preserve">   아노다이징 처리</t>
  </si>
  <si>
    <t xml:space="preserve">        ▼</t>
  </si>
  <si>
    <t>[2. 아노다이징 후 소재]</t>
  </si>
  <si>
    <t xml:space="preserve">   피팅 조립</t>
  </si>
  <si>
    <t>[3. 완제품]</t>
  </si>
  <si>
    <t>[4. 피팅 소재]</t>
  </si>
  <si>
    <t xml:space="preserve"> └─ 제품별로 서로 다르게 사용됨</t>
  </si>
  <si>
    <r>
      <t>원소재 품번이 따로 없음
품목명 시트에서 MD로 시작하는게 아노다이징만 해놓은 상태
MD품번에서 피팅이 조립되어 MA로 완제품 상태
(예시</t>
    </r>
    <r>
      <rPr>
        <b/>
        <sz val="11"/>
        <color theme="1"/>
        <rFont val="맑은 고딕"/>
        <family val="3"/>
        <charset val="129"/>
        <scheme val="minor"/>
      </rPr>
      <t xml:space="preserve"> MA000841</t>
    </r>
    <r>
      <rPr>
        <sz val="11"/>
        <color theme="1"/>
        <rFont val="맑은 고딕"/>
        <family val="2"/>
        <charset val="129"/>
        <scheme val="minor"/>
      </rPr>
      <t xml:space="preserve"> = </t>
    </r>
    <r>
      <rPr>
        <b/>
        <sz val="11"/>
        <color theme="1"/>
        <rFont val="맑은 고딕"/>
        <family val="3"/>
        <charset val="129"/>
        <scheme val="minor"/>
      </rPr>
      <t>MD000014(아노다이징 후 소재) + SA000320 피팅 2개</t>
    </r>
    <r>
      <rPr>
        <sz val="11"/>
        <color theme="1"/>
        <rFont val="맑은 고딕"/>
        <family val="2"/>
        <charset val="129"/>
        <scheme val="minor"/>
      </rPr>
      <t xml:space="preserve">
1.소재상태(원소재, 아노다이징 소재)  재고
2.완제품 재고(피팅 삽입 조립완료)
3.피팅(BOM) 재고
소재(MD)는 같지만 피팅(BOM)이 달라 완제품 품번(MA)이 다른경우 있음.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</si>
</sst>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000000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inor"/>
    </font>
    <font>
      <sz val="16"/>
      <color theme="1"/>
      <name val="맑은 고딕"/>
      <family val="2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5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 diagonalUp="1" diagonalDown="1"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 diagonalUp="1" diagonalDown="1"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 diagonalUp="1" diagonalDown="1"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 diagonalUp="1" diagonalDown="1"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 diagonalUp="1" diagonalDown="1"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medium">
        <color indexed="64"/>
      </right>
      <top style="thin">
        <color indexed="64"/>
      </top>
      <bottom/>
      <diagonal/>
    </border>
    <border diagonalUp="1" diagonalDown="1"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 diagonalUp="1" diagonalDown="1"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 diagonalUp="1" diagonalDown="1">
      <left style="thin">
        <color indexed="64"/>
      </left>
      <right/>
      <top style="medium">
        <color indexed="64"/>
      </top>
      <bottom style="thin">
        <color indexed="64"/>
      </bottom>
      <diagonal/>
    </border>
    <border diagonalUp="1" diagonalDown="1"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8" fillId="0" borderId="0">
      <alignment vertical="center"/>
    </xf>
  </cellStyleXfs>
  <cellXfs count="118">
    <xf numFmtId="0" fontId="0" fillId="0" borderId="0" xfId="0">
      <alignment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4" borderId="20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0" borderId="37" xfId="0" applyFont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17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21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/>
    </xf>
    <xf numFmtId="0" fontId="3" fillId="4" borderId="28" xfId="0" applyFont="1" applyFill="1" applyBorder="1" applyAlignment="1">
      <alignment horizontal="center" vertical="center" wrapText="1"/>
    </xf>
    <xf numFmtId="0" fontId="3" fillId="4" borderId="29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38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19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20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3" borderId="29" xfId="0" applyFont="1" applyFill="1" applyBorder="1" applyAlignment="1">
      <alignment horizontal="center" vertical="center" wrapText="1"/>
    </xf>
    <xf numFmtId="0" fontId="3" fillId="3" borderId="30" xfId="0" applyFont="1" applyFill="1" applyBorder="1" applyAlignment="1">
      <alignment horizontal="center" vertical="center" wrapText="1"/>
    </xf>
    <xf numFmtId="0" fontId="3" fillId="3" borderId="23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33" xfId="0" applyFont="1" applyFill="1" applyBorder="1" applyAlignment="1">
      <alignment horizontal="center" vertical="center"/>
    </xf>
    <xf numFmtId="0" fontId="3" fillId="3" borderId="34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9" fillId="4" borderId="8" xfId="1" applyFont="1" applyFill="1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 wrapText="1"/>
    </xf>
    <xf numFmtId="0" fontId="3" fillId="2" borderId="27" xfId="0" applyFont="1" applyFill="1" applyBorder="1" applyAlignment="1">
      <alignment horizontal="center" vertical="center" wrapText="1"/>
    </xf>
    <xf numFmtId="0" fontId="3" fillId="3" borderId="41" xfId="0" applyFont="1" applyFill="1" applyBorder="1" applyAlignment="1">
      <alignment horizontal="center" vertical="center" wrapText="1"/>
    </xf>
    <xf numFmtId="0" fontId="3" fillId="3" borderId="22" xfId="0" applyFont="1" applyFill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/>
    </xf>
    <xf numFmtId="0" fontId="3" fillId="3" borderId="40" xfId="0" applyFont="1" applyFill="1" applyBorder="1" applyAlignment="1">
      <alignment horizontal="center" vertical="center"/>
    </xf>
    <xf numFmtId="0" fontId="3" fillId="3" borderId="31" xfId="0" applyFont="1" applyFill="1" applyBorder="1" applyAlignment="1">
      <alignment horizontal="center" vertical="center"/>
    </xf>
    <xf numFmtId="0" fontId="3" fillId="2" borderId="39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0" fontId="2" fillId="3" borderId="24" xfId="0" applyFont="1" applyFill="1" applyBorder="1" applyAlignment="1">
      <alignment horizontal="center" vertical="center" wrapText="1"/>
    </xf>
    <xf numFmtId="0" fontId="2" fillId="3" borderId="27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46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47" xfId="0" applyFont="1" applyFill="1" applyBorder="1" applyAlignment="1">
      <alignment horizontal="center" vertical="center"/>
    </xf>
    <xf numFmtId="0" fontId="3" fillId="2" borderId="45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2" fillId="3" borderId="45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43" xfId="0" applyFont="1" applyFill="1" applyBorder="1" applyAlignment="1">
      <alignment horizontal="center" vertical="center" wrapText="1"/>
    </xf>
    <xf numFmtId="0" fontId="2" fillId="3" borderId="44" xfId="0" applyFont="1" applyFill="1" applyBorder="1" applyAlignment="1">
      <alignment horizontal="center" vertical="center" wrapText="1"/>
    </xf>
    <xf numFmtId="0" fontId="2" fillId="3" borderId="42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46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47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2">
    <cellStyle name="표준" xfId="0" builtinId="0"/>
    <cellStyle name="표준 2 2 2" xfId="1" xr:uid="{BABAB2EA-C676-49F7-8BC1-5EFA7CD6A1D4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C5CE8-9253-4EA8-A651-865C147A2592}">
  <dimension ref="B1:L45"/>
  <sheetViews>
    <sheetView showGridLines="0" topLeftCell="A67" workbookViewId="0">
      <selection activeCell="K8" sqref="K8"/>
    </sheetView>
  </sheetViews>
  <sheetFormatPr defaultRowHeight="17.399999999999999" x14ac:dyDescent="0.4"/>
  <cols>
    <col min="2" max="4" width="15.59765625" customWidth="1"/>
    <col min="6" max="8" width="15.59765625" customWidth="1"/>
    <col min="10" max="12" width="15.59765625" customWidth="1"/>
  </cols>
  <sheetData>
    <row r="1" spans="2:12" ht="18" thickBot="1" x14ac:dyDescent="0.45"/>
    <row r="2" spans="2:12" ht="39.75" customHeight="1" thickBot="1" x14ac:dyDescent="0.45">
      <c r="B2" s="51" t="s">
        <v>233</v>
      </c>
      <c r="C2" s="52" t="s">
        <v>234</v>
      </c>
      <c r="D2" s="52" t="s">
        <v>235</v>
      </c>
      <c r="F2" s="51" t="s">
        <v>233</v>
      </c>
      <c r="G2" s="52" t="s">
        <v>234</v>
      </c>
      <c r="H2" s="52" t="s">
        <v>235</v>
      </c>
      <c r="J2" s="51" t="s">
        <v>233</v>
      </c>
      <c r="K2" s="52" t="s">
        <v>234</v>
      </c>
      <c r="L2" s="52" t="s">
        <v>235</v>
      </c>
    </row>
    <row r="3" spans="2:12" ht="18" thickBot="1" x14ac:dyDescent="0.45">
      <c r="B3" s="53" t="s">
        <v>236</v>
      </c>
      <c r="C3" s="54" t="s">
        <v>237</v>
      </c>
      <c r="D3" s="53">
        <v>1</v>
      </c>
      <c r="F3" s="72" t="s">
        <v>103</v>
      </c>
      <c r="G3" s="55" t="s">
        <v>238</v>
      </c>
      <c r="H3" s="56">
        <v>1</v>
      </c>
      <c r="J3" s="72" t="s">
        <v>176</v>
      </c>
      <c r="K3" s="55" t="s">
        <v>239</v>
      </c>
      <c r="L3" s="56">
        <v>2</v>
      </c>
    </row>
    <row r="4" spans="2:12" x14ac:dyDescent="0.4">
      <c r="B4" s="74" t="s">
        <v>240</v>
      </c>
      <c r="C4" s="55" t="s">
        <v>241</v>
      </c>
      <c r="D4" s="56">
        <v>1</v>
      </c>
      <c r="F4" s="71"/>
      <c r="G4" s="57" t="s">
        <v>242</v>
      </c>
      <c r="H4" s="58">
        <v>1</v>
      </c>
      <c r="J4" s="71"/>
      <c r="K4" s="57" t="s">
        <v>243</v>
      </c>
      <c r="L4" s="58">
        <v>1</v>
      </c>
    </row>
    <row r="5" spans="2:12" ht="18" thickBot="1" x14ac:dyDescent="0.45">
      <c r="B5" s="75"/>
      <c r="C5" s="59" t="s">
        <v>237</v>
      </c>
      <c r="D5" s="60">
        <v>1</v>
      </c>
      <c r="F5" s="73"/>
      <c r="G5" s="59" t="s">
        <v>244</v>
      </c>
      <c r="H5" s="60">
        <v>1</v>
      </c>
      <c r="J5" s="73"/>
      <c r="K5" s="59" t="s">
        <v>245</v>
      </c>
      <c r="L5" s="60">
        <v>2</v>
      </c>
    </row>
    <row r="6" spans="2:12" ht="18" thickBot="1" x14ac:dyDescent="0.45">
      <c r="B6" s="76" t="s">
        <v>192</v>
      </c>
      <c r="C6" s="61" t="s">
        <v>241</v>
      </c>
      <c r="D6" s="62">
        <v>1</v>
      </c>
      <c r="F6" s="63" t="s">
        <v>246</v>
      </c>
      <c r="G6" s="64">
        <v>20076239</v>
      </c>
      <c r="H6" s="63">
        <v>2</v>
      </c>
      <c r="J6" s="72" t="s">
        <v>247</v>
      </c>
      <c r="K6" s="55" t="s">
        <v>239</v>
      </c>
      <c r="L6" s="56">
        <v>2</v>
      </c>
    </row>
    <row r="7" spans="2:12" ht="18" thickBot="1" x14ac:dyDescent="0.45">
      <c r="B7" s="77"/>
      <c r="C7" s="65" t="s">
        <v>237</v>
      </c>
      <c r="D7" s="66">
        <v>1</v>
      </c>
      <c r="F7" s="53" t="s">
        <v>248</v>
      </c>
      <c r="G7" s="54" t="s">
        <v>242</v>
      </c>
      <c r="H7" s="53">
        <v>2</v>
      </c>
      <c r="J7" s="73"/>
      <c r="K7" s="59" t="s">
        <v>245</v>
      </c>
      <c r="L7" s="60">
        <v>2</v>
      </c>
    </row>
    <row r="8" spans="2:12" ht="18" thickBot="1" x14ac:dyDescent="0.45">
      <c r="B8" s="53" t="s">
        <v>249</v>
      </c>
      <c r="C8" s="54" t="s">
        <v>250</v>
      </c>
      <c r="D8" s="53">
        <v>2</v>
      </c>
      <c r="F8" s="63" t="s">
        <v>113</v>
      </c>
      <c r="G8" s="64" t="s">
        <v>242</v>
      </c>
      <c r="H8" s="63">
        <v>2</v>
      </c>
      <c r="J8" s="71" t="s">
        <v>251</v>
      </c>
      <c r="K8" s="61" t="s">
        <v>239</v>
      </c>
      <c r="L8" s="62">
        <v>1</v>
      </c>
    </row>
    <row r="9" spans="2:12" ht="18" thickBot="1" x14ac:dyDescent="0.45">
      <c r="B9" s="63" t="s">
        <v>74</v>
      </c>
      <c r="C9" s="64" t="s">
        <v>250</v>
      </c>
      <c r="D9" s="63">
        <v>1</v>
      </c>
      <c r="F9" s="53" t="s">
        <v>117</v>
      </c>
      <c r="G9" s="54" t="s">
        <v>242</v>
      </c>
      <c r="H9" s="53">
        <v>1</v>
      </c>
      <c r="J9" s="71"/>
      <c r="K9" s="57" t="s">
        <v>252</v>
      </c>
      <c r="L9" s="58">
        <v>1</v>
      </c>
    </row>
    <row r="10" spans="2:12" ht="18" thickBot="1" x14ac:dyDescent="0.45">
      <c r="B10" s="53" t="s">
        <v>78</v>
      </c>
      <c r="C10" s="54" t="s">
        <v>253</v>
      </c>
      <c r="D10" s="53">
        <v>1</v>
      </c>
      <c r="F10" s="63" t="s">
        <v>120</v>
      </c>
      <c r="G10" s="64" t="s">
        <v>238</v>
      </c>
      <c r="H10" s="63">
        <v>1</v>
      </c>
      <c r="J10" s="71"/>
      <c r="K10" s="65" t="s">
        <v>245</v>
      </c>
      <c r="L10" s="66">
        <v>1</v>
      </c>
    </row>
    <row r="11" spans="2:12" ht="18" thickBot="1" x14ac:dyDescent="0.45">
      <c r="B11" s="63" t="s">
        <v>82</v>
      </c>
      <c r="C11" s="64" t="s">
        <v>250</v>
      </c>
      <c r="D11" s="63">
        <v>2</v>
      </c>
      <c r="F11" s="72" t="s">
        <v>254</v>
      </c>
      <c r="G11" s="55" t="s">
        <v>238</v>
      </c>
      <c r="H11" s="56">
        <v>2</v>
      </c>
      <c r="J11" s="53" t="s">
        <v>255</v>
      </c>
      <c r="K11" s="54" t="s">
        <v>256</v>
      </c>
      <c r="L11" s="53">
        <v>2</v>
      </c>
    </row>
    <row r="12" spans="2:12" ht="18" thickBot="1" x14ac:dyDescent="0.45">
      <c r="B12" s="49" t="s">
        <v>86</v>
      </c>
      <c r="C12" s="67" t="s">
        <v>242</v>
      </c>
      <c r="D12" s="49">
        <v>2</v>
      </c>
      <c r="F12" s="73"/>
      <c r="G12" s="59" t="s">
        <v>244</v>
      </c>
      <c r="H12" s="60">
        <v>1</v>
      </c>
      <c r="J12" s="71" t="s">
        <v>257</v>
      </c>
      <c r="K12" s="61" t="s">
        <v>256</v>
      </c>
      <c r="L12" s="62">
        <v>2</v>
      </c>
    </row>
    <row r="13" spans="2:12" ht="18" thickBot="1" x14ac:dyDescent="0.45">
      <c r="B13" s="53" t="s">
        <v>258</v>
      </c>
      <c r="C13" s="54" t="s">
        <v>242</v>
      </c>
      <c r="D13" s="53">
        <v>2</v>
      </c>
      <c r="F13" s="71" t="s">
        <v>128</v>
      </c>
      <c r="G13" s="61" t="s">
        <v>242</v>
      </c>
      <c r="H13" s="62">
        <v>2</v>
      </c>
      <c r="J13" s="71"/>
      <c r="K13" s="65" t="s">
        <v>244</v>
      </c>
      <c r="L13" s="66">
        <v>3</v>
      </c>
    </row>
    <row r="14" spans="2:12" ht="18" thickBot="1" x14ac:dyDescent="0.45">
      <c r="B14" s="71" t="s">
        <v>10</v>
      </c>
      <c r="C14" s="68" t="s">
        <v>238</v>
      </c>
      <c r="D14" s="62">
        <v>2</v>
      </c>
      <c r="F14" s="71"/>
      <c r="G14" s="65" t="s">
        <v>244</v>
      </c>
      <c r="H14" s="66">
        <v>1</v>
      </c>
      <c r="J14" s="72" t="s">
        <v>58</v>
      </c>
      <c r="K14" s="55" t="s">
        <v>256</v>
      </c>
      <c r="L14" s="56">
        <v>2</v>
      </c>
    </row>
    <row r="15" spans="2:12" ht="18" thickBot="1" x14ac:dyDescent="0.45">
      <c r="B15" s="71"/>
      <c r="C15" s="65" t="s">
        <v>244</v>
      </c>
      <c r="D15" s="66">
        <v>1</v>
      </c>
      <c r="F15" s="72" t="s">
        <v>259</v>
      </c>
      <c r="G15" s="55" t="s">
        <v>242</v>
      </c>
      <c r="H15" s="56">
        <v>1</v>
      </c>
      <c r="J15" s="73"/>
      <c r="K15" s="59" t="s">
        <v>244</v>
      </c>
      <c r="L15" s="60">
        <v>3</v>
      </c>
    </row>
    <row r="16" spans="2:12" ht="18" thickBot="1" x14ac:dyDescent="0.45">
      <c r="B16" s="72" t="s">
        <v>14</v>
      </c>
      <c r="C16" s="55" t="s">
        <v>242</v>
      </c>
      <c r="D16" s="56">
        <v>2</v>
      </c>
      <c r="F16" s="73"/>
      <c r="G16" s="59" t="s">
        <v>238</v>
      </c>
      <c r="H16" s="60">
        <v>1</v>
      </c>
      <c r="J16" s="71" t="s">
        <v>62</v>
      </c>
      <c r="K16" s="61" t="s">
        <v>256</v>
      </c>
      <c r="L16" s="62">
        <v>2</v>
      </c>
    </row>
    <row r="17" spans="2:12" ht="18" thickBot="1" x14ac:dyDescent="0.45">
      <c r="B17" s="73"/>
      <c r="C17" s="59" t="s">
        <v>244</v>
      </c>
      <c r="D17" s="60">
        <v>1</v>
      </c>
      <c r="F17" s="71" t="s">
        <v>134</v>
      </c>
      <c r="G17" s="61" t="s">
        <v>242</v>
      </c>
      <c r="H17" s="62">
        <v>1</v>
      </c>
      <c r="J17" s="71"/>
      <c r="K17" s="65" t="s">
        <v>244</v>
      </c>
      <c r="L17" s="66">
        <v>6</v>
      </c>
    </row>
    <row r="18" spans="2:12" ht="18" thickBot="1" x14ac:dyDescent="0.45">
      <c r="B18" s="71" t="s">
        <v>18</v>
      </c>
      <c r="C18" s="61" t="s">
        <v>242</v>
      </c>
      <c r="D18" s="62">
        <v>2</v>
      </c>
      <c r="F18" s="71"/>
      <c r="G18" s="65" t="s">
        <v>238</v>
      </c>
      <c r="H18" s="66">
        <v>1</v>
      </c>
      <c r="J18" s="72" t="s">
        <v>260</v>
      </c>
      <c r="K18" s="55" t="s">
        <v>239</v>
      </c>
      <c r="L18" s="56">
        <v>1</v>
      </c>
    </row>
    <row r="19" spans="2:12" ht="18" thickBot="1" x14ac:dyDescent="0.45">
      <c r="B19" s="71"/>
      <c r="C19" s="65" t="s">
        <v>244</v>
      </c>
      <c r="D19" s="66">
        <v>1</v>
      </c>
      <c r="F19" s="72" t="s">
        <v>261</v>
      </c>
      <c r="G19" s="68" t="s">
        <v>262</v>
      </c>
      <c r="H19" s="56">
        <v>2</v>
      </c>
      <c r="J19" s="73"/>
      <c r="K19" s="59" t="s">
        <v>245</v>
      </c>
      <c r="L19" s="60">
        <v>1</v>
      </c>
    </row>
    <row r="20" spans="2:12" ht="18" thickBot="1" x14ac:dyDescent="0.45">
      <c r="B20" s="72" t="s">
        <v>22</v>
      </c>
      <c r="C20" s="55" t="s">
        <v>242</v>
      </c>
      <c r="D20" s="56">
        <v>2</v>
      </c>
      <c r="F20" s="73"/>
      <c r="G20" s="59" t="s">
        <v>263</v>
      </c>
      <c r="H20" s="60">
        <v>1</v>
      </c>
      <c r="J20" s="71" t="s">
        <v>264</v>
      </c>
      <c r="K20" s="61" t="s">
        <v>239</v>
      </c>
      <c r="L20" s="62">
        <v>1</v>
      </c>
    </row>
    <row r="21" spans="2:12" ht="18" thickBot="1" x14ac:dyDescent="0.45">
      <c r="B21" s="73"/>
      <c r="C21" s="59" t="s">
        <v>244</v>
      </c>
      <c r="D21" s="60">
        <v>1</v>
      </c>
      <c r="F21" s="63" t="s">
        <v>265</v>
      </c>
      <c r="G21" s="64" t="s">
        <v>244</v>
      </c>
      <c r="H21" s="63">
        <v>1</v>
      </c>
      <c r="J21" s="71"/>
      <c r="K21" s="57" t="s">
        <v>266</v>
      </c>
      <c r="L21" s="58">
        <v>1</v>
      </c>
    </row>
    <row r="22" spans="2:12" ht="18" thickBot="1" x14ac:dyDescent="0.45">
      <c r="B22" s="71" t="s">
        <v>26</v>
      </c>
      <c r="C22" s="61" t="s">
        <v>242</v>
      </c>
      <c r="D22" s="62">
        <v>1</v>
      </c>
      <c r="F22" s="53" t="s">
        <v>142</v>
      </c>
      <c r="G22" s="54" t="s">
        <v>244</v>
      </c>
      <c r="H22" s="53">
        <v>1</v>
      </c>
      <c r="J22" s="71"/>
      <c r="K22" s="57" t="s">
        <v>252</v>
      </c>
      <c r="L22" s="58">
        <v>1</v>
      </c>
    </row>
    <row r="23" spans="2:12" ht="18" thickBot="1" x14ac:dyDescent="0.45">
      <c r="B23" s="71"/>
      <c r="C23" s="68" t="s">
        <v>238</v>
      </c>
      <c r="D23" s="66">
        <v>1</v>
      </c>
      <c r="F23" s="63" t="s">
        <v>146</v>
      </c>
      <c r="G23" s="68" t="s">
        <v>262</v>
      </c>
      <c r="H23" s="63">
        <v>1</v>
      </c>
      <c r="J23" s="71"/>
      <c r="K23" s="65" t="s">
        <v>245</v>
      </c>
      <c r="L23" s="66">
        <v>1</v>
      </c>
    </row>
    <row r="24" spans="2:12" x14ac:dyDescent="0.4">
      <c r="B24" s="72" t="s">
        <v>30</v>
      </c>
      <c r="C24" s="55" t="s">
        <v>242</v>
      </c>
      <c r="D24" s="56">
        <v>2</v>
      </c>
      <c r="F24" s="72" t="s">
        <v>150</v>
      </c>
      <c r="G24" s="55" t="s">
        <v>239</v>
      </c>
      <c r="H24" s="56">
        <v>1</v>
      </c>
      <c r="J24" s="72" t="s">
        <v>267</v>
      </c>
      <c r="K24" s="55" t="s">
        <v>268</v>
      </c>
      <c r="L24" s="56">
        <v>1</v>
      </c>
    </row>
    <row r="25" spans="2:12" ht="18" thickBot="1" x14ac:dyDescent="0.45">
      <c r="B25" s="73"/>
      <c r="C25" s="59" t="s">
        <v>244</v>
      </c>
      <c r="D25" s="60">
        <v>3</v>
      </c>
      <c r="F25" s="71"/>
      <c r="G25" s="65" t="s">
        <v>245</v>
      </c>
      <c r="H25" s="66">
        <v>1</v>
      </c>
      <c r="J25" s="73"/>
      <c r="K25" s="59" t="s">
        <v>269</v>
      </c>
      <c r="L25" s="60">
        <v>2</v>
      </c>
    </row>
    <row r="26" spans="2:12" ht="18" thickBot="1" x14ac:dyDescent="0.45">
      <c r="B26" s="71" t="s">
        <v>270</v>
      </c>
      <c r="C26" s="61" t="s">
        <v>242</v>
      </c>
      <c r="D26" s="62">
        <v>1</v>
      </c>
      <c r="F26" s="53" t="s">
        <v>271</v>
      </c>
      <c r="G26" s="54" t="s">
        <v>262</v>
      </c>
      <c r="H26" s="53">
        <v>2</v>
      </c>
      <c r="J26" s="63" t="s">
        <v>272</v>
      </c>
      <c r="K26" s="64" t="s">
        <v>273</v>
      </c>
      <c r="L26" s="63">
        <v>2</v>
      </c>
    </row>
    <row r="27" spans="2:12" x14ac:dyDescent="0.4">
      <c r="B27" s="71"/>
      <c r="C27" s="68" t="s">
        <v>238</v>
      </c>
      <c r="D27" s="58">
        <v>1</v>
      </c>
      <c r="F27" s="71" t="s">
        <v>274</v>
      </c>
      <c r="G27" s="61" t="s">
        <v>275</v>
      </c>
      <c r="H27" s="62">
        <v>1</v>
      </c>
      <c r="J27" s="72" t="s">
        <v>276</v>
      </c>
      <c r="K27" s="55" t="s">
        <v>268</v>
      </c>
      <c r="L27" s="56">
        <v>3</v>
      </c>
    </row>
    <row r="28" spans="2:12" ht="18" thickBot="1" x14ac:dyDescent="0.45">
      <c r="B28" s="71"/>
      <c r="C28" s="65" t="s">
        <v>244</v>
      </c>
      <c r="D28" s="66">
        <v>2</v>
      </c>
      <c r="F28" s="71"/>
      <c r="G28" s="57" t="s">
        <v>239</v>
      </c>
      <c r="H28" s="58">
        <v>2</v>
      </c>
      <c r="J28" s="73"/>
      <c r="K28" s="59" t="s">
        <v>269</v>
      </c>
      <c r="L28" s="60">
        <v>2</v>
      </c>
    </row>
    <row r="29" spans="2:12" ht="18" thickBot="1" x14ac:dyDescent="0.45">
      <c r="B29" s="72" t="s">
        <v>277</v>
      </c>
      <c r="C29" s="55" t="s">
        <v>244</v>
      </c>
      <c r="D29" s="56">
        <v>3</v>
      </c>
      <c r="F29" s="71"/>
      <c r="G29" s="65" t="s">
        <v>245</v>
      </c>
      <c r="H29" s="66">
        <v>2</v>
      </c>
      <c r="J29" s="71" t="s">
        <v>218</v>
      </c>
      <c r="K29" s="61" t="s">
        <v>268</v>
      </c>
      <c r="L29" s="62">
        <v>3</v>
      </c>
    </row>
    <row r="30" spans="2:12" ht="18" thickBot="1" x14ac:dyDescent="0.45">
      <c r="B30" s="73"/>
      <c r="C30" s="59" t="s">
        <v>278</v>
      </c>
      <c r="D30" s="60">
        <v>2</v>
      </c>
      <c r="F30" s="53" t="s">
        <v>279</v>
      </c>
      <c r="G30" s="68" t="s">
        <v>262</v>
      </c>
      <c r="H30" s="53">
        <v>2</v>
      </c>
      <c r="J30" s="71"/>
      <c r="K30" s="57" t="s">
        <v>269</v>
      </c>
      <c r="L30" s="58">
        <v>1</v>
      </c>
    </row>
    <row r="31" spans="2:12" ht="18" thickBot="1" x14ac:dyDescent="0.45">
      <c r="B31" s="71" t="s">
        <v>92</v>
      </c>
      <c r="C31" s="61" t="s">
        <v>242</v>
      </c>
      <c r="D31" s="62">
        <v>2</v>
      </c>
      <c r="F31" s="71" t="s">
        <v>280</v>
      </c>
      <c r="G31" s="61" t="s">
        <v>239</v>
      </c>
      <c r="H31" s="62">
        <v>1</v>
      </c>
      <c r="J31" s="71"/>
      <c r="K31" s="65" t="s">
        <v>281</v>
      </c>
      <c r="L31" s="66">
        <v>1</v>
      </c>
    </row>
    <row r="32" spans="2:12" ht="18" thickBot="1" x14ac:dyDescent="0.45">
      <c r="B32" s="71"/>
      <c r="C32" s="65" t="s">
        <v>244</v>
      </c>
      <c r="D32" s="66">
        <v>1</v>
      </c>
      <c r="F32" s="71"/>
      <c r="G32" s="57" t="s">
        <v>252</v>
      </c>
      <c r="H32" s="58">
        <v>1</v>
      </c>
      <c r="J32" s="72" t="s">
        <v>282</v>
      </c>
      <c r="K32" s="55" t="s">
        <v>268</v>
      </c>
      <c r="L32" s="56">
        <v>1</v>
      </c>
    </row>
    <row r="33" spans="2:12" ht="18" thickBot="1" x14ac:dyDescent="0.45">
      <c r="B33" s="72" t="s">
        <v>95</v>
      </c>
      <c r="C33" s="55" t="s">
        <v>242</v>
      </c>
      <c r="D33" s="56">
        <v>2</v>
      </c>
      <c r="F33" s="71"/>
      <c r="G33" s="65" t="s">
        <v>245</v>
      </c>
      <c r="H33" s="66">
        <v>1</v>
      </c>
      <c r="J33" s="73"/>
      <c r="K33" s="59" t="s">
        <v>269</v>
      </c>
      <c r="L33" s="60">
        <v>2</v>
      </c>
    </row>
    <row r="34" spans="2:12" ht="18" thickBot="1" x14ac:dyDescent="0.45">
      <c r="B34" s="73"/>
      <c r="C34" s="59" t="s">
        <v>244</v>
      </c>
      <c r="D34" s="60">
        <v>2</v>
      </c>
      <c r="F34" s="72" t="s">
        <v>283</v>
      </c>
      <c r="G34" s="55" t="s">
        <v>284</v>
      </c>
      <c r="H34" s="56">
        <v>2</v>
      </c>
      <c r="J34" s="71" t="s">
        <v>285</v>
      </c>
      <c r="K34" s="61" t="s">
        <v>268</v>
      </c>
      <c r="L34" s="62">
        <v>1</v>
      </c>
    </row>
    <row r="35" spans="2:12" ht="18" thickBot="1" x14ac:dyDescent="0.45">
      <c r="B35" s="71" t="s">
        <v>98</v>
      </c>
      <c r="C35" s="61" t="s">
        <v>242</v>
      </c>
      <c r="D35" s="62">
        <v>2</v>
      </c>
      <c r="F35" s="73"/>
      <c r="G35" s="59">
        <v>20076308</v>
      </c>
      <c r="H35" s="60">
        <v>2</v>
      </c>
      <c r="J35" s="71"/>
      <c r="K35" s="65" t="s">
        <v>269</v>
      </c>
      <c r="L35" s="66">
        <v>2</v>
      </c>
    </row>
    <row r="36" spans="2:12" ht="18" thickBot="1" x14ac:dyDescent="0.45">
      <c r="B36" s="71"/>
      <c r="C36" s="65" t="s">
        <v>244</v>
      </c>
      <c r="D36" s="66">
        <v>2</v>
      </c>
      <c r="F36" s="71" t="s">
        <v>286</v>
      </c>
      <c r="G36" s="61" t="s">
        <v>284</v>
      </c>
      <c r="H36" s="62">
        <v>1</v>
      </c>
      <c r="J36" s="72" t="s">
        <v>287</v>
      </c>
      <c r="K36" s="55" t="s">
        <v>268</v>
      </c>
      <c r="L36" s="56">
        <v>3</v>
      </c>
    </row>
    <row r="37" spans="2:12" ht="18" thickBot="1" x14ac:dyDescent="0.45">
      <c r="B37" s="53" t="s">
        <v>288</v>
      </c>
      <c r="C37" s="68" t="s">
        <v>238</v>
      </c>
      <c r="D37" s="53">
        <v>2</v>
      </c>
      <c r="F37" s="71"/>
      <c r="G37" s="57">
        <v>20076308</v>
      </c>
      <c r="H37" s="58">
        <v>1</v>
      </c>
      <c r="J37" s="73"/>
      <c r="K37" s="59" t="s">
        <v>269</v>
      </c>
      <c r="L37" s="60">
        <v>2</v>
      </c>
    </row>
    <row r="38" spans="2:12" ht="18" thickBot="1" x14ac:dyDescent="0.45">
      <c r="B38" s="63" t="s">
        <v>289</v>
      </c>
      <c r="C38" s="64" t="s">
        <v>290</v>
      </c>
      <c r="D38" s="63">
        <v>2</v>
      </c>
      <c r="F38" s="71"/>
      <c r="G38" s="68" t="s">
        <v>262</v>
      </c>
      <c r="H38" s="66">
        <v>1</v>
      </c>
      <c r="J38" s="71" t="s">
        <v>291</v>
      </c>
      <c r="K38" s="61" t="s">
        <v>268</v>
      </c>
      <c r="L38" s="62">
        <v>2</v>
      </c>
    </row>
    <row r="39" spans="2:12" ht="18" thickBot="1" x14ac:dyDescent="0.45">
      <c r="B39" s="72" t="s">
        <v>292</v>
      </c>
      <c r="C39" s="55" t="s">
        <v>244</v>
      </c>
      <c r="D39" s="56">
        <v>3</v>
      </c>
      <c r="F39" s="53" t="s">
        <v>293</v>
      </c>
      <c r="G39" s="54" t="s">
        <v>241</v>
      </c>
      <c r="H39" s="53">
        <v>1</v>
      </c>
      <c r="J39" s="71"/>
      <c r="K39" s="65" t="s">
        <v>269</v>
      </c>
      <c r="L39" s="66">
        <v>2</v>
      </c>
    </row>
    <row r="40" spans="2:12" ht="18" thickBot="1" x14ac:dyDescent="0.45">
      <c r="B40" s="73"/>
      <c r="C40" s="59" t="s">
        <v>278</v>
      </c>
      <c r="D40" s="60">
        <v>2</v>
      </c>
      <c r="F40" s="71" t="s">
        <v>294</v>
      </c>
      <c r="G40" s="61" t="s">
        <v>242</v>
      </c>
      <c r="H40" s="62">
        <v>1</v>
      </c>
      <c r="J40" s="72" t="s">
        <v>295</v>
      </c>
      <c r="K40" s="55" t="s">
        <v>268</v>
      </c>
      <c r="L40" s="56">
        <v>3</v>
      </c>
    </row>
    <row r="41" spans="2:12" ht="18" thickBot="1" x14ac:dyDescent="0.45">
      <c r="B41" s="72" t="s">
        <v>296</v>
      </c>
      <c r="C41" s="68" t="s">
        <v>238</v>
      </c>
      <c r="D41" s="56">
        <v>1</v>
      </c>
      <c r="F41" s="71"/>
      <c r="G41" s="65" t="s">
        <v>238</v>
      </c>
      <c r="H41" s="66">
        <v>1</v>
      </c>
      <c r="J41" s="73"/>
      <c r="K41" s="59" t="s">
        <v>281</v>
      </c>
      <c r="L41" s="60">
        <v>2</v>
      </c>
    </row>
    <row r="42" spans="2:12" x14ac:dyDescent="0.4">
      <c r="B42" s="71"/>
      <c r="C42" s="57" t="s">
        <v>242</v>
      </c>
      <c r="D42" s="58">
        <v>1</v>
      </c>
      <c r="F42" s="72" t="s">
        <v>297</v>
      </c>
      <c r="G42" s="55" t="s">
        <v>239</v>
      </c>
      <c r="H42" s="56">
        <v>2</v>
      </c>
      <c r="J42" s="71" t="s">
        <v>298</v>
      </c>
      <c r="K42" s="61" t="s">
        <v>269</v>
      </c>
      <c r="L42" s="62">
        <v>2</v>
      </c>
    </row>
    <row r="43" spans="2:12" ht="18" thickBot="1" x14ac:dyDescent="0.45">
      <c r="B43" s="73"/>
      <c r="C43" s="59" t="s">
        <v>244</v>
      </c>
      <c r="D43" s="60">
        <v>2</v>
      </c>
      <c r="F43" s="71"/>
      <c r="G43" s="57" t="s">
        <v>266</v>
      </c>
      <c r="H43" s="58">
        <v>1</v>
      </c>
      <c r="J43" s="71"/>
      <c r="K43" s="65" t="s">
        <v>268</v>
      </c>
      <c r="L43" s="66">
        <v>3</v>
      </c>
    </row>
    <row r="44" spans="2:12" ht="18" thickBot="1" x14ac:dyDescent="0.45">
      <c r="B44" s="69"/>
      <c r="C44" s="69"/>
      <c r="D44" s="69"/>
      <c r="F44" s="73"/>
      <c r="G44" s="59" t="s">
        <v>245</v>
      </c>
      <c r="H44" s="60">
        <v>2</v>
      </c>
      <c r="J44" s="53" t="s">
        <v>299</v>
      </c>
      <c r="K44" s="54" t="s">
        <v>273</v>
      </c>
      <c r="L44" s="53">
        <v>2</v>
      </c>
    </row>
    <row r="45" spans="2:12" ht="18" thickBot="1" x14ac:dyDescent="0.45">
      <c r="J45" s="50" t="s">
        <v>222</v>
      </c>
      <c r="K45" s="70" t="s">
        <v>300</v>
      </c>
      <c r="L45" s="50">
        <v>2</v>
      </c>
    </row>
  </sheetData>
  <mergeCells count="45">
    <mergeCell ref="J42:J43"/>
    <mergeCell ref="J34:J35"/>
    <mergeCell ref="B35:B36"/>
    <mergeCell ref="F36:F38"/>
    <mergeCell ref="J36:J37"/>
    <mergeCell ref="J38:J39"/>
    <mergeCell ref="B39:B40"/>
    <mergeCell ref="F40:F41"/>
    <mergeCell ref="J40:J41"/>
    <mergeCell ref="B41:B43"/>
    <mergeCell ref="F42:F44"/>
    <mergeCell ref="J20:J23"/>
    <mergeCell ref="B22:B23"/>
    <mergeCell ref="B26:B28"/>
    <mergeCell ref="F27:F29"/>
    <mergeCell ref="J27:J28"/>
    <mergeCell ref="B29:B30"/>
    <mergeCell ref="J29:J31"/>
    <mergeCell ref="B31:B32"/>
    <mergeCell ref="F31:F33"/>
    <mergeCell ref="J32:J33"/>
    <mergeCell ref="B33:B34"/>
    <mergeCell ref="F34:F35"/>
    <mergeCell ref="B24:B25"/>
    <mergeCell ref="F24:F25"/>
    <mergeCell ref="J24:J25"/>
    <mergeCell ref="F11:F12"/>
    <mergeCell ref="J12:J13"/>
    <mergeCell ref="F13:F14"/>
    <mergeCell ref="B14:B15"/>
    <mergeCell ref="J14:J15"/>
    <mergeCell ref="F15:F16"/>
    <mergeCell ref="B16:B17"/>
    <mergeCell ref="J16:J17"/>
    <mergeCell ref="F17:F18"/>
    <mergeCell ref="B18:B19"/>
    <mergeCell ref="J18:J19"/>
    <mergeCell ref="F19:F20"/>
    <mergeCell ref="B20:B21"/>
    <mergeCell ref="J8:J10"/>
    <mergeCell ref="F3:F5"/>
    <mergeCell ref="J3:J5"/>
    <mergeCell ref="B4:B5"/>
    <mergeCell ref="B6:B7"/>
    <mergeCell ref="J6:J7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F3AC8-0862-4FA8-BE06-94DD60A05A00}">
  <sheetPr>
    <pageSetUpPr fitToPage="1"/>
  </sheetPr>
  <dimension ref="C1:P130"/>
  <sheetViews>
    <sheetView topLeftCell="A15" zoomScale="97" zoomScaleNormal="115" workbookViewId="0">
      <selection activeCell="G16" sqref="G16:G17"/>
    </sheetView>
  </sheetViews>
  <sheetFormatPr defaultRowHeight="17.399999999999999" x14ac:dyDescent="0.4"/>
  <cols>
    <col min="3" max="3" width="11.19921875" bestFit="1" customWidth="1"/>
    <col min="4" max="4" width="12.19921875" customWidth="1"/>
    <col min="5" max="5" width="75.09765625" bestFit="1" customWidth="1"/>
    <col min="6" max="8" width="13.59765625" customWidth="1"/>
    <col min="12" max="12" width="9" customWidth="1"/>
    <col min="16" max="16" width="9" customWidth="1"/>
  </cols>
  <sheetData>
    <row r="1" spans="3:8" ht="18" thickBot="1" x14ac:dyDescent="0.45"/>
    <row r="2" spans="3:8" x14ac:dyDescent="0.4">
      <c r="C2" s="5" t="s">
        <v>0</v>
      </c>
      <c r="D2" s="6" t="s">
        <v>194</v>
      </c>
      <c r="E2" s="104" t="s">
        <v>1</v>
      </c>
      <c r="F2" s="106" t="s">
        <v>220</v>
      </c>
      <c r="G2" s="108" t="s">
        <v>223</v>
      </c>
      <c r="H2" s="94" t="s">
        <v>226</v>
      </c>
    </row>
    <row r="3" spans="3:8" ht="18" thickBot="1" x14ac:dyDescent="0.45">
      <c r="C3" s="16" t="s">
        <v>193</v>
      </c>
      <c r="D3" s="17" t="s">
        <v>195</v>
      </c>
      <c r="E3" s="105"/>
      <c r="F3" s="107"/>
      <c r="G3" s="109"/>
      <c r="H3" s="95"/>
    </row>
    <row r="4" spans="3:8" x14ac:dyDescent="0.4">
      <c r="C4" s="96" t="s">
        <v>225</v>
      </c>
      <c r="D4" s="97"/>
      <c r="E4" s="97"/>
      <c r="F4" s="97"/>
      <c r="G4" s="97"/>
      <c r="H4" s="98"/>
    </row>
    <row r="5" spans="3:8" ht="18" thickBot="1" x14ac:dyDescent="0.45">
      <c r="C5" s="99"/>
      <c r="D5" s="100"/>
      <c r="E5" s="100"/>
      <c r="F5" s="100"/>
      <c r="G5" s="100"/>
      <c r="H5" s="101"/>
    </row>
    <row r="6" spans="3:8" ht="15" customHeight="1" x14ac:dyDescent="0.4">
      <c r="C6" s="102">
        <v>7810092</v>
      </c>
      <c r="D6" s="9" t="s">
        <v>2</v>
      </c>
      <c r="E6" s="85" t="s">
        <v>3</v>
      </c>
      <c r="F6" s="78">
        <f>2214-30</f>
        <v>2184</v>
      </c>
      <c r="G6" s="78">
        <f>254-20-10</f>
        <v>224</v>
      </c>
      <c r="H6" s="72">
        <f>SUM(F6:G7)</f>
        <v>2408</v>
      </c>
    </row>
    <row r="7" spans="3:8" ht="17.25" customHeight="1" thickBot="1" x14ac:dyDescent="0.45">
      <c r="C7" s="103"/>
      <c r="D7" s="10" t="s">
        <v>222</v>
      </c>
      <c r="E7" s="86"/>
      <c r="F7" s="79"/>
      <c r="G7" s="79"/>
      <c r="H7" s="73"/>
    </row>
    <row r="8" spans="3:8" ht="16.5" customHeight="1" x14ac:dyDescent="0.4">
      <c r="C8" s="2">
        <v>7862100</v>
      </c>
      <c r="D8" s="7" t="s">
        <v>63</v>
      </c>
      <c r="E8" s="85" t="s">
        <v>64</v>
      </c>
      <c r="F8" s="78">
        <f>720-30</f>
        <v>690</v>
      </c>
      <c r="G8" s="78">
        <f>290+54+56+50+200-16-58-43-49+50</f>
        <v>534</v>
      </c>
      <c r="H8" s="72">
        <f>F8+G8</f>
        <v>1224</v>
      </c>
    </row>
    <row r="9" spans="3:8" ht="17.25" customHeight="1" thickBot="1" x14ac:dyDescent="0.45">
      <c r="C9" s="35" t="s">
        <v>65</v>
      </c>
      <c r="D9" s="36" t="s">
        <v>66</v>
      </c>
      <c r="E9" s="86"/>
      <c r="F9" s="79"/>
      <c r="G9" s="79"/>
      <c r="H9" s="73"/>
    </row>
    <row r="10" spans="3:8" ht="16.5" customHeight="1" x14ac:dyDescent="0.4">
      <c r="C10" s="25">
        <v>7862101</v>
      </c>
      <c r="D10" s="26" t="s">
        <v>7</v>
      </c>
      <c r="E10" s="85" t="s">
        <v>8</v>
      </c>
      <c r="F10" s="78">
        <f>420-200+488+986-2-4-100</f>
        <v>1588</v>
      </c>
      <c r="G10" s="78"/>
      <c r="H10" s="78">
        <f>F10+G10+G12+G14</f>
        <v>1686</v>
      </c>
    </row>
    <row r="11" spans="3:8" ht="17.25" customHeight="1" thickBot="1" x14ac:dyDescent="0.45">
      <c r="C11" s="37" t="s">
        <v>9</v>
      </c>
      <c r="D11" s="38" t="s">
        <v>10</v>
      </c>
      <c r="E11" s="92"/>
      <c r="F11" s="80"/>
      <c r="G11" s="79"/>
      <c r="H11" s="80"/>
    </row>
    <row r="12" spans="3:8" ht="16.5" customHeight="1" x14ac:dyDescent="0.4">
      <c r="C12" s="3">
        <v>7862101</v>
      </c>
      <c r="D12" s="11" t="s">
        <v>7</v>
      </c>
      <c r="E12" s="93" t="s">
        <v>8</v>
      </c>
      <c r="F12" s="80"/>
      <c r="G12" s="78">
        <v>98</v>
      </c>
      <c r="H12" s="80"/>
    </row>
    <row r="13" spans="3:8" ht="17.25" customHeight="1" thickBot="1" x14ac:dyDescent="0.45">
      <c r="C13" s="37" t="s">
        <v>91</v>
      </c>
      <c r="D13" s="38" t="s">
        <v>92</v>
      </c>
      <c r="E13" s="92"/>
      <c r="F13" s="80"/>
      <c r="G13" s="79"/>
      <c r="H13" s="80"/>
    </row>
    <row r="14" spans="3:8" ht="16.5" customHeight="1" x14ac:dyDescent="0.4">
      <c r="C14" s="3">
        <v>7862101</v>
      </c>
      <c r="D14" s="11" t="s">
        <v>7</v>
      </c>
      <c r="E14" s="93" t="s">
        <v>101</v>
      </c>
      <c r="F14" s="80"/>
      <c r="G14" s="78"/>
      <c r="H14" s="80"/>
    </row>
    <row r="15" spans="3:8" ht="17.25" customHeight="1" thickBot="1" x14ac:dyDescent="0.45">
      <c r="C15" s="35" t="s">
        <v>102</v>
      </c>
      <c r="D15" s="36" t="s">
        <v>103</v>
      </c>
      <c r="E15" s="86"/>
      <c r="F15" s="79"/>
      <c r="G15" s="79"/>
      <c r="H15" s="80"/>
    </row>
    <row r="16" spans="3:8" ht="16.5" customHeight="1" x14ac:dyDescent="0.4">
      <c r="C16" s="27">
        <v>7862102</v>
      </c>
      <c r="D16" s="28" t="s">
        <v>11</v>
      </c>
      <c r="E16" s="85" t="s">
        <v>12</v>
      </c>
      <c r="F16" s="78">
        <f>1000+1000</f>
        <v>2000</v>
      </c>
      <c r="G16" s="78">
        <v>201</v>
      </c>
      <c r="H16" s="78">
        <f>F16+G16</f>
        <v>2201</v>
      </c>
    </row>
    <row r="17" spans="3:16" ht="18.75" customHeight="1" thickBot="1" x14ac:dyDescent="0.45">
      <c r="C17" s="39" t="s">
        <v>13</v>
      </c>
      <c r="D17" s="40" t="s">
        <v>14</v>
      </c>
      <c r="E17" s="86"/>
      <c r="F17" s="79"/>
      <c r="G17" s="79"/>
      <c r="H17" s="79"/>
    </row>
    <row r="18" spans="3:16" ht="16.5" customHeight="1" x14ac:dyDescent="0.4">
      <c r="C18" s="25">
        <v>7862103</v>
      </c>
      <c r="D18" s="26" t="s">
        <v>15</v>
      </c>
      <c r="E18" s="85" t="s">
        <v>16</v>
      </c>
      <c r="F18" s="78">
        <f>34-2+500</f>
        <v>532</v>
      </c>
      <c r="G18" s="78">
        <v>45</v>
      </c>
      <c r="H18" s="78">
        <f>F18+G18</f>
        <v>577</v>
      </c>
    </row>
    <row r="19" spans="3:16" ht="17.25" customHeight="1" thickBot="1" x14ac:dyDescent="0.45">
      <c r="C19" s="35" t="s">
        <v>17</v>
      </c>
      <c r="D19" s="36" t="s">
        <v>18</v>
      </c>
      <c r="E19" s="86"/>
      <c r="F19" s="79"/>
      <c r="G19" s="79"/>
      <c r="H19" s="79"/>
    </row>
    <row r="20" spans="3:16" ht="16.5" customHeight="1" x14ac:dyDescent="0.4">
      <c r="C20" s="25">
        <v>7862104</v>
      </c>
      <c r="D20" s="26" t="s">
        <v>19</v>
      </c>
      <c r="E20" s="85" t="s">
        <v>20</v>
      </c>
      <c r="F20" s="78">
        <v>500</v>
      </c>
      <c r="G20" s="78">
        <v>35</v>
      </c>
      <c r="H20" s="78">
        <f>F20+G20</f>
        <v>535</v>
      </c>
    </row>
    <row r="21" spans="3:16" ht="17.25" customHeight="1" thickBot="1" x14ac:dyDescent="0.45">
      <c r="C21" s="35" t="s">
        <v>21</v>
      </c>
      <c r="D21" s="36" t="s">
        <v>22</v>
      </c>
      <c r="E21" s="86"/>
      <c r="F21" s="79"/>
      <c r="G21" s="79"/>
      <c r="H21" s="79"/>
    </row>
    <row r="22" spans="3:16" ht="16.5" customHeight="1" x14ac:dyDescent="0.4">
      <c r="C22" s="25">
        <v>7862105</v>
      </c>
      <c r="D22" s="26" t="s">
        <v>23</v>
      </c>
      <c r="E22" s="85" t="s">
        <v>24</v>
      </c>
      <c r="F22" s="78">
        <f>870+2000-70</f>
        <v>2800</v>
      </c>
      <c r="G22" s="78">
        <v>200</v>
      </c>
      <c r="H22" s="78">
        <f>F22+G22+G24</f>
        <v>3150</v>
      </c>
    </row>
    <row r="23" spans="3:16" ht="17.25" customHeight="1" thickBot="1" x14ac:dyDescent="0.45">
      <c r="C23" s="37" t="s">
        <v>25</v>
      </c>
      <c r="D23" s="38" t="s">
        <v>26</v>
      </c>
      <c r="E23" s="92"/>
      <c r="F23" s="80"/>
      <c r="G23" s="79"/>
      <c r="H23" s="80"/>
    </row>
    <row r="24" spans="3:16" ht="16.5" customHeight="1" x14ac:dyDescent="0.4">
      <c r="C24" s="3">
        <v>7862105</v>
      </c>
      <c r="D24" s="11" t="s">
        <v>23</v>
      </c>
      <c r="E24" s="93" t="s">
        <v>24</v>
      </c>
      <c r="F24" s="80"/>
      <c r="G24" s="78">
        <v>150</v>
      </c>
      <c r="H24" s="80"/>
    </row>
    <row r="25" spans="3:16" ht="17.25" customHeight="1" thickBot="1" x14ac:dyDescent="0.45">
      <c r="C25" s="35" t="s">
        <v>99</v>
      </c>
      <c r="D25" s="36" t="s">
        <v>100</v>
      </c>
      <c r="E25" s="86"/>
      <c r="F25" s="79"/>
      <c r="G25" s="79"/>
      <c r="H25" s="79"/>
    </row>
    <row r="26" spans="3:16" ht="16.5" customHeight="1" x14ac:dyDescent="0.4">
      <c r="C26" s="25">
        <v>7862106</v>
      </c>
      <c r="D26" s="26" t="s">
        <v>27</v>
      </c>
      <c r="E26" s="85" t="s">
        <v>28</v>
      </c>
      <c r="F26" s="78">
        <v>2780</v>
      </c>
      <c r="G26" s="78">
        <f>135-10-10-23+50+100-43</f>
        <v>199</v>
      </c>
      <c r="H26" s="78">
        <f>F26+G26+G28</f>
        <v>3216</v>
      </c>
    </row>
    <row r="27" spans="3:16" ht="18" thickBot="1" x14ac:dyDescent="0.45">
      <c r="C27" s="37" t="s">
        <v>29</v>
      </c>
      <c r="D27" s="38" t="s">
        <v>30</v>
      </c>
      <c r="E27" s="92"/>
      <c r="F27" s="80"/>
      <c r="G27" s="79"/>
      <c r="H27" s="80"/>
    </row>
    <row r="28" spans="3:16" ht="16.5" customHeight="1" x14ac:dyDescent="0.4">
      <c r="C28" s="29">
        <v>7862106</v>
      </c>
      <c r="D28" s="11" t="s">
        <v>27</v>
      </c>
      <c r="E28" s="89" t="s">
        <v>209</v>
      </c>
      <c r="F28" s="80"/>
      <c r="G28" s="78">
        <f>122-8-5-22+150</f>
        <v>237</v>
      </c>
      <c r="H28" s="80"/>
    </row>
    <row r="29" spans="3:16" ht="17.25" customHeight="1" thickBot="1" x14ac:dyDescent="0.45">
      <c r="C29" s="90" t="s">
        <v>218</v>
      </c>
      <c r="D29" s="91"/>
      <c r="E29" s="79"/>
      <c r="F29" s="79"/>
      <c r="G29" s="79"/>
      <c r="H29" s="79"/>
    </row>
    <row r="30" spans="3:16" ht="16.5" customHeight="1" x14ac:dyDescent="0.4">
      <c r="C30" s="25">
        <v>7865005</v>
      </c>
      <c r="D30" s="26" t="s">
        <v>93</v>
      </c>
      <c r="E30" s="85" t="s">
        <v>16</v>
      </c>
      <c r="F30" s="78">
        <f>100+500</f>
        <v>600</v>
      </c>
      <c r="G30" s="78">
        <v>98</v>
      </c>
      <c r="H30" s="78">
        <f>F30+G30+G32</f>
        <v>698</v>
      </c>
    </row>
    <row r="31" spans="3:16" ht="17.25" customHeight="1" thickBot="1" x14ac:dyDescent="0.45">
      <c r="C31" s="37" t="s">
        <v>94</v>
      </c>
      <c r="D31" s="38" t="s">
        <v>95</v>
      </c>
      <c r="E31" s="92"/>
      <c r="F31" s="80"/>
      <c r="G31" s="79"/>
      <c r="H31" s="80"/>
      <c r="P31" t="s">
        <v>232</v>
      </c>
    </row>
    <row r="32" spans="3:16" ht="16.5" customHeight="1" x14ac:dyDescent="0.4">
      <c r="C32" s="3">
        <v>7865005</v>
      </c>
      <c r="D32" s="11" t="s">
        <v>93</v>
      </c>
      <c r="E32" s="93" t="s">
        <v>185</v>
      </c>
      <c r="F32" s="80"/>
      <c r="G32" s="78"/>
      <c r="H32" s="80"/>
    </row>
    <row r="33" spans="3:8" ht="17.25" customHeight="1" thickBot="1" x14ac:dyDescent="0.45">
      <c r="C33" s="35" t="s">
        <v>186</v>
      </c>
      <c r="D33" s="36" t="s">
        <v>187</v>
      </c>
      <c r="E33" s="86"/>
      <c r="F33" s="79"/>
      <c r="G33" s="79"/>
      <c r="H33" s="79"/>
    </row>
    <row r="34" spans="3:8" x14ac:dyDescent="0.4">
      <c r="C34" s="27">
        <v>7865006</v>
      </c>
      <c r="D34" s="28" t="s">
        <v>96</v>
      </c>
      <c r="E34" s="85" t="s">
        <v>20</v>
      </c>
      <c r="F34" s="78">
        <f>317+500</f>
        <v>817</v>
      </c>
      <c r="G34" s="78">
        <v>95</v>
      </c>
      <c r="H34" s="78">
        <f>F34+G34</f>
        <v>912</v>
      </c>
    </row>
    <row r="35" spans="3:8" ht="18" thickBot="1" x14ac:dyDescent="0.45">
      <c r="C35" s="35" t="s">
        <v>97</v>
      </c>
      <c r="D35" s="36" t="s">
        <v>98</v>
      </c>
      <c r="E35" s="86"/>
      <c r="F35" s="79"/>
      <c r="G35" s="79"/>
      <c r="H35" s="79"/>
    </row>
    <row r="36" spans="3:8" x14ac:dyDescent="0.4">
      <c r="C36" s="110" t="s">
        <v>221</v>
      </c>
      <c r="D36" s="111"/>
      <c r="E36" s="111"/>
      <c r="F36" s="111"/>
      <c r="G36" s="111"/>
      <c r="H36" s="112"/>
    </row>
    <row r="37" spans="3:8" ht="18" thickBot="1" x14ac:dyDescent="0.45">
      <c r="C37" s="113"/>
      <c r="D37" s="114"/>
      <c r="E37" s="114"/>
      <c r="F37" s="114"/>
      <c r="G37" s="114"/>
      <c r="H37" s="115"/>
    </row>
    <row r="38" spans="3:8" x14ac:dyDescent="0.4">
      <c r="C38" s="25">
        <v>7842005</v>
      </c>
      <c r="D38" s="26" t="s">
        <v>67</v>
      </c>
      <c r="E38" s="85" t="s">
        <v>68</v>
      </c>
      <c r="F38" s="78">
        <v>299</v>
      </c>
      <c r="G38" s="78">
        <f>60-22+22-22</f>
        <v>38</v>
      </c>
      <c r="H38" s="78">
        <f>SUM(F38:G39)</f>
        <v>337</v>
      </c>
    </row>
    <row r="39" spans="3:8" ht="18" thickBot="1" x14ac:dyDescent="0.45">
      <c r="C39" s="35" t="s">
        <v>69</v>
      </c>
      <c r="D39" s="36" t="s">
        <v>70</v>
      </c>
      <c r="E39" s="86"/>
      <c r="F39" s="79"/>
      <c r="G39" s="79"/>
      <c r="H39" s="79"/>
    </row>
    <row r="40" spans="3:8" x14ac:dyDescent="0.4">
      <c r="C40" s="25">
        <v>7842001</v>
      </c>
      <c r="D40" s="26" t="s">
        <v>71</v>
      </c>
      <c r="E40" s="85" t="s">
        <v>72</v>
      </c>
      <c r="F40" s="78">
        <f>128-50+190</f>
        <v>268</v>
      </c>
      <c r="G40" s="78">
        <f>50-22</f>
        <v>28</v>
      </c>
      <c r="H40" s="78">
        <f t="shared" ref="H40" si="0">SUM(F40:G41)</f>
        <v>296</v>
      </c>
    </row>
    <row r="41" spans="3:8" ht="18" thickBot="1" x14ac:dyDescent="0.45">
      <c r="C41" s="35" t="s">
        <v>73</v>
      </c>
      <c r="D41" s="36" t="s">
        <v>74</v>
      </c>
      <c r="E41" s="86"/>
      <c r="F41" s="79"/>
      <c r="G41" s="79"/>
      <c r="H41" s="79"/>
    </row>
    <row r="42" spans="3:8" x14ac:dyDescent="0.4">
      <c r="C42" s="25">
        <v>7842004</v>
      </c>
      <c r="D42" s="26" t="s">
        <v>75</v>
      </c>
      <c r="E42" s="85" t="s">
        <v>76</v>
      </c>
      <c r="F42" s="78">
        <v>300</v>
      </c>
      <c r="G42" s="78">
        <f>30-22</f>
        <v>8</v>
      </c>
      <c r="H42" s="78">
        <f t="shared" ref="H42" si="1">SUM(F42:G43)</f>
        <v>308</v>
      </c>
    </row>
    <row r="43" spans="3:8" ht="20.25" customHeight="1" thickBot="1" x14ac:dyDescent="0.45">
      <c r="C43" s="35" t="s">
        <v>77</v>
      </c>
      <c r="D43" s="36" t="s">
        <v>78</v>
      </c>
      <c r="E43" s="86"/>
      <c r="F43" s="79"/>
      <c r="G43" s="79"/>
      <c r="H43" s="79"/>
    </row>
    <row r="44" spans="3:8" x14ac:dyDescent="0.4">
      <c r="C44" s="25">
        <v>7842006</v>
      </c>
      <c r="D44" s="26" t="s">
        <v>79</v>
      </c>
      <c r="E44" s="85" t="s">
        <v>80</v>
      </c>
      <c r="F44" s="78">
        <f>128-40+200</f>
        <v>288</v>
      </c>
      <c r="G44" s="78">
        <f>40-22</f>
        <v>18</v>
      </c>
      <c r="H44" s="78">
        <f t="shared" ref="H44" si="2">SUM(F44:G45)</f>
        <v>306</v>
      </c>
    </row>
    <row r="45" spans="3:8" ht="18" thickBot="1" x14ac:dyDescent="0.45">
      <c r="C45" s="35" t="s">
        <v>81</v>
      </c>
      <c r="D45" s="36" t="s">
        <v>82</v>
      </c>
      <c r="E45" s="86"/>
      <c r="F45" s="79"/>
      <c r="G45" s="79"/>
      <c r="H45" s="79"/>
    </row>
    <row r="46" spans="3:8" x14ac:dyDescent="0.4">
      <c r="C46" s="25">
        <v>7842501</v>
      </c>
      <c r="D46" s="26" t="s">
        <v>83</v>
      </c>
      <c r="E46" s="85" t="s">
        <v>84</v>
      </c>
      <c r="F46" s="78">
        <f>33+198-22</f>
        <v>209</v>
      </c>
      <c r="G46" s="78"/>
      <c r="H46" s="78">
        <f t="shared" ref="H46" si="3">SUM(F46:G47)</f>
        <v>209</v>
      </c>
    </row>
    <row r="47" spans="3:8" ht="18" thickBot="1" x14ac:dyDescent="0.45">
      <c r="C47" s="35" t="s">
        <v>85</v>
      </c>
      <c r="D47" s="36" t="s">
        <v>86</v>
      </c>
      <c r="E47" s="86"/>
      <c r="F47" s="79"/>
      <c r="G47" s="79"/>
      <c r="H47" s="79"/>
    </row>
    <row r="48" spans="3:8" x14ac:dyDescent="0.4">
      <c r="C48" s="27">
        <v>7867174</v>
      </c>
      <c r="D48" s="28" t="s">
        <v>87</v>
      </c>
      <c r="E48" s="85" t="s">
        <v>88</v>
      </c>
      <c r="F48" s="78">
        <f>195-50</f>
        <v>145</v>
      </c>
      <c r="G48" s="78">
        <f>70-2</f>
        <v>68</v>
      </c>
      <c r="H48" s="78">
        <f t="shared" ref="H48" si="4">SUM(F48:G49)</f>
        <v>213</v>
      </c>
    </row>
    <row r="49" spans="3:8" ht="18" thickBot="1" x14ac:dyDescent="0.45">
      <c r="C49" s="35" t="s">
        <v>89</v>
      </c>
      <c r="D49" s="36" t="s">
        <v>90</v>
      </c>
      <c r="E49" s="86"/>
      <c r="F49" s="79"/>
      <c r="G49" s="79"/>
      <c r="H49" s="79"/>
    </row>
    <row r="50" spans="3:8" x14ac:dyDescent="0.4">
      <c r="C50" s="25">
        <v>7867068</v>
      </c>
      <c r="D50" s="26" t="s">
        <v>31</v>
      </c>
      <c r="E50" s="85" t="s">
        <v>32</v>
      </c>
      <c r="F50" s="78">
        <v>99</v>
      </c>
      <c r="G50" s="78">
        <f>100-6</f>
        <v>94</v>
      </c>
      <c r="H50" s="78">
        <f>F50+G50+G52</f>
        <v>291</v>
      </c>
    </row>
    <row r="51" spans="3:8" ht="17.25" customHeight="1" thickBot="1" x14ac:dyDescent="0.45">
      <c r="C51" s="37" t="s">
        <v>33</v>
      </c>
      <c r="D51" s="38" t="s">
        <v>34</v>
      </c>
      <c r="E51" s="92"/>
      <c r="F51" s="80"/>
      <c r="G51" s="79"/>
      <c r="H51" s="80"/>
    </row>
    <row r="52" spans="3:8" x14ac:dyDescent="0.4">
      <c r="C52" s="3">
        <v>7867068</v>
      </c>
      <c r="D52" s="11" t="s">
        <v>31</v>
      </c>
      <c r="E52" s="93" t="s">
        <v>104</v>
      </c>
      <c r="F52" s="80"/>
      <c r="G52" s="78">
        <f>100-2</f>
        <v>98</v>
      </c>
      <c r="H52" s="80"/>
    </row>
    <row r="53" spans="3:8" ht="18" thickBot="1" x14ac:dyDescent="0.45">
      <c r="C53" s="35" t="s">
        <v>105</v>
      </c>
      <c r="D53" s="36" t="s">
        <v>106</v>
      </c>
      <c r="E53" s="86"/>
      <c r="F53" s="79"/>
      <c r="G53" s="79"/>
      <c r="H53" s="79"/>
    </row>
    <row r="54" spans="3:8" x14ac:dyDescent="0.4">
      <c r="C54" s="2">
        <v>7867069</v>
      </c>
      <c r="D54" s="7" t="s">
        <v>35</v>
      </c>
      <c r="E54" s="85" t="s">
        <v>36</v>
      </c>
      <c r="F54" s="78">
        <v>306</v>
      </c>
      <c r="G54" s="78"/>
      <c r="H54" s="78">
        <f>F54+G54</f>
        <v>306</v>
      </c>
    </row>
    <row r="55" spans="3:8" ht="18" thickBot="1" x14ac:dyDescent="0.45">
      <c r="C55" s="35" t="s">
        <v>37</v>
      </c>
      <c r="D55" s="36" t="s">
        <v>38</v>
      </c>
      <c r="E55" s="86"/>
      <c r="F55" s="79"/>
      <c r="G55" s="79"/>
      <c r="H55" s="79"/>
    </row>
    <row r="56" spans="3:8" x14ac:dyDescent="0.4">
      <c r="C56" s="25">
        <v>7867146</v>
      </c>
      <c r="D56" s="30" t="s">
        <v>43</v>
      </c>
      <c r="E56" s="85" t="s">
        <v>44</v>
      </c>
      <c r="F56" s="78">
        <v>1000</v>
      </c>
      <c r="G56" s="78">
        <v>100</v>
      </c>
      <c r="H56" s="78">
        <f>F56+G56+G58+G60+G62</f>
        <v>1354</v>
      </c>
    </row>
    <row r="57" spans="3:8" ht="18" thickBot="1" x14ac:dyDescent="0.45">
      <c r="C57" s="37" t="s">
        <v>45</v>
      </c>
      <c r="D57" s="41" t="s">
        <v>46</v>
      </c>
      <c r="E57" s="92"/>
      <c r="F57" s="80"/>
      <c r="G57" s="79"/>
      <c r="H57" s="80"/>
    </row>
    <row r="58" spans="3:8" x14ac:dyDescent="0.4">
      <c r="C58" s="3">
        <v>7867146</v>
      </c>
      <c r="D58" s="31" t="s">
        <v>43</v>
      </c>
      <c r="E58" s="93" t="s">
        <v>107</v>
      </c>
      <c r="F58" s="80"/>
      <c r="G58" s="78">
        <v>74</v>
      </c>
      <c r="H58" s="80"/>
    </row>
    <row r="59" spans="3:8" ht="18" thickBot="1" x14ac:dyDescent="0.45">
      <c r="C59" s="37" t="s">
        <v>108</v>
      </c>
      <c r="D59" s="41" t="s">
        <v>109</v>
      </c>
      <c r="E59" s="92"/>
      <c r="F59" s="80"/>
      <c r="G59" s="79"/>
      <c r="H59" s="80"/>
    </row>
    <row r="60" spans="3:8" x14ac:dyDescent="0.4">
      <c r="C60" s="3">
        <v>7867146</v>
      </c>
      <c r="D60" s="31" t="s">
        <v>43</v>
      </c>
      <c r="E60" s="93" t="s">
        <v>129</v>
      </c>
      <c r="F60" s="80"/>
      <c r="G60" s="78">
        <v>90</v>
      </c>
      <c r="H60" s="80"/>
    </row>
    <row r="61" spans="3:8" ht="18" thickBot="1" x14ac:dyDescent="0.45">
      <c r="C61" s="37" t="s">
        <v>130</v>
      </c>
      <c r="D61" s="41" t="s">
        <v>131</v>
      </c>
      <c r="E61" s="92"/>
      <c r="F61" s="80"/>
      <c r="G61" s="79"/>
      <c r="H61" s="80"/>
    </row>
    <row r="62" spans="3:8" x14ac:dyDescent="0.4">
      <c r="C62" s="3">
        <v>7867146</v>
      </c>
      <c r="D62" s="31" t="s">
        <v>43</v>
      </c>
      <c r="E62" s="93" t="s">
        <v>132</v>
      </c>
      <c r="F62" s="80"/>
      <c r="G62" s="78">
        <v>90</v>
      </c>
      <c r="H62" s="80"/>
    </row>
    <row r="63" spans="3:8" ht="18" thickBot="1" x14ac:dyDescent="0.45">
      <c r="C63" s="39" t="s">
        <v>133</v>
      </c>
      <c r="D63" s="42" t="s">
        <v>134</v>
      </c>
      <c r="E63" s="86"/>
      <c r="F63" s="79"/>
      <c r="G63" s="79"/>
      <c r="H63" s="79"/>
    </row>
    <row r="64" spans="3:8" ht="16.5" customHeight="1" x14ac:dyDescent="0.4">
      <c r="C64" s="25">
        <v>7867147</v>
      </c>
      <c r="D64" s="26" t="s">
        <v>110</v>
      </c>
      <c r="E64" s="85" t="s">
        <v>111</v>
      </c>
      <c r="F64" s="78">
        <v>501</v>
      </c>
      <c r="G64" s="78">
        <v>200</v>
      </c>
      <c r="H64" s="78">
        <f>F64+G64</f>
        <v>701</v>
      </c>
    </row>
    <row r="65" spans="3:8" ht="18" thickBot="1" x14ac:dyDescent="0.45">
      <c r="C65" s="35" t="s">
        <v>112</v>
      </c>
      <c r="D65" s="36" t="s">
        <v>113</v>
      </c>
      <c r="E65" s="86"/>
      <c r="F65" s="79"/>
      <c r="G65" s="79"/>
      <c r="H65" s="79"/>
    </row>
    <row r="66" spans="3:8" ht="16.5" customHeight="1" x14ac:dyDescent="0.4">
      <c r="C66" s="25">
        <v>7866117</v>
      </c>
      <c r="D66" s="26" t="s">
        <v>39</v>
      </c>
      <c r="E66" s="85" t="s">
        <v>40</v>
      </c>
      <c r="F66" s="78">
        <f>150-6-4</f>
        <v>140</v>
      </c>
      <c r="G66" s="78">
        <v>27</v>
      </c>
      <c r="H66" s="78">
        <f t="shared" ref="H66" si="5">F66+G66</f>
        <v>167</v>
      </c>
    </row>
    <row r="67" spans="3:8" ht="18" thickBot="1" x14ac:dyDescent="0.45">
      <c r="C67" s="39" t="s">
        <v>41</v>
      </c>
      <c r="D67" s="40" t="s">
        <v>42</v>
      </c>
      <c r="E67" s="86"/>
      <c r="F67" s="79"/>
      <c r="G67" s="79"/>
      <c r="H67" s="79"/>
    </row>
    <row r="68" spans="3:8" x14ac:dyDescent="0.4">
      <c r="C68" s="2">
        <v>7866112</v>
      </c>
      <c r="D68" s="7" t="s">
        <v>135</v>
      </c>
      <c r="E68" s="85" t="s">
        <v>136</v>
      </c>
      <c r="F68" s="78">
        <v>183</v>
      </c>
      <c r="G68" s="78">
        <v>33</v>
      </c>
      <c r="H68" s="78">
        <f t="shared" ref="H68" si="6">F68+G68</f>
        <v>216</v>
      </c>
    </row>
    <row r="69" spans="3:8" ht="18" thickBot="1" x14ac:dyDescent="0.45">
      <c r="C69" s="35" t="s">
        <v>137</v>
      </c>
      <c r="D69" s="36" t="s">
        <v>138</v>
      </c>
      <c r="E69" s="86"/>
      <c r="F69" s="79"/>
      <c r="G69" s="79"/>
      <c r="H69" s="79"/>
    </row>
    <row r="70" spans="3:8" x14ac:dyDescent="0.4">
      <c r="C70" s="2">
        <v>7866111</v>
      </c>
      <c r="D70" s="7" t="s">
        <v>139</v>
      </c>
      <c r="E70" s="85" t="s">
        <v>140</v>
      </c>
      <c r="F70" s="78">
        <v>196</v>
      </c>
      <c r="G70" s="78">
        <v>33</v>
      </c>
      <c r="H70" s="78">
        <f t="shared" ref="H70" si="7">F70+G70</f>
        <v>229</v>
      </c>
    </row>
    <row r="71" spans="3:8" ht="18" thickBot="1" x14ac:dyDescent="0.45">
      <c r="C71" s="35" t="s">
        <v>141</v>
      </c>
      <c r="D71" s="36" t="s">
        <v>142</v>
      </c>
      <c r="E71" s="86"/>
      <c r="F71" s="79"/>
      <c r="G71" s="79"/>
      <c r="H71" s="79"/>
    </row>
    <row r="72" spans="3:8" x14ac:dyDescent="0.4">
      <c r="C72" s="2">
        <v>7866109</v>
      </c>
      <c r="D72" s="7" t="s">
        <v>143</v>
      </c>
      <c r="E72" s="85" t="s">
        <v>144</v>
      </c>
      <c r="F72" s="78">
        <v>200</v>
      </c>
      <c r="G72" s="78">
        <f>46-9-3</f>
        <v>34</v>
      </c>
      <c r="H72" s="78">
        <f t="shared" ref="H72" si="8">F72+G72</f>
        <v>234</v>
      </c>
    </row>
    <row r="73" spans="3:8" ht="18" thickBot="1" x14ac:dyDescent="0.45">
      <c r="C73" s="35" t="s">
        <v>145</v>
      </c>
      <c r="D73" s="36" t="s">
        <v>146</v>
      </c>
      <c r="E73" s="86"/>
      <c r="F73" s="79"/>
      <c r="G73" s="79"/>
      <c r="H73" s="79"/>
    </row>
    <row r="74" spans="3:8" x14ac:dyDescent="0.4">
      <c r="C74" s="2">
        <v>7866108</v>
      </c>
      <c r="D74" s="7" t="s">
        <v>147</v>
      </c>
      <c r="E74" s="85" t="s">
        <v>148</v>
      </c>
      <c r="F74" s="78">
        <v>239</v>
      </c>
      <c r="G74" s="78">
        <v>52</v>
      </c>
      <c r="H74" s="78">
        <f t="shared" ref="H74" si="9">F74+G74</f>
        <v>291</v>
      </c>
    </row>
    <row r="75" spans="3:8" ht="18" thickBot="1" x14ac:dyDescent="0.45">
      <c r="C75" s="35" t="s">
        <v>149</v>
      </c>
      <c r="D75" s="36" t="s">
        <v>150</v>
      </c>
      <c r="E75" s="86"/>
      <c r="F75" s="79"/>
      <c r="G75" s="79"/>
      <c r="H75" s="79"/>
    </row>
    <row r="76" spans="3:8" x14ac:dyDescent="0.4">
      <c r="C76" s="2">
        <v>7866107</v>
      </c>
      <c r="D76" s="7" t="s">
        <v>151</v>
      </c>
      <c r="E76" s="85" t="s">
        <v>152</v>
      </c>
      <c r="F76" s="78">
        <v>161</v>
      </c>
      <c r="G76" s="78">
        <v>50</v>
      </c>
      <c r="H76" s="78">
        <f t="shared" ref="H76" si="10">F76+G76</f>
        <v>211</v>
      </c>
    </row>
    <row r="77" spans="3:8" ht="18" thickBot="1" x14ac:dyDescent="0.45">
      <c r="C77" s="35" t="s">
        <v>153</v>
      </c>
      <c r="D77" s="36" t="s">
        <v>154</v>
      </c>
      <c r="E77" s="86"/>
      <c r="F77" s="79"/>
      <c r="G77" s="79"/>
      <c r="H77" s="79"/>
    </row>
    <row r="78" spans="3:8" x14ac:dyDescent="0.4">
      <c r="C78" s="2">
        <v>7866106</v>
      </c>
      <c r="D78" s="7" t="s">
        <v>155</v>
      </c>
      <c r="E78" s="85" t="s">
        <v>156</v>
      </c>
      <c r="F78" s="78">
        <v>166</v>
      </c>
      <c r="G78" s="78">
        <v>50</v>
      </c>
      <c r="H78" s="78">
        <f t="shared" ref="H78" si="11">F78+G78</f>
        <v>216</v>
      </c>
    </row>
    <row r="79" spans="3:8" ht="18" thickBot="1" x14ac:dyDescent="0.45">
      <c r="C79" s="39" t="s">
        <v>157</v>
      </c>
      <c r="D79" s="40" t="s">
        <v>158</v>
      </c>
      <c r="E79" s="86"/>
      <c r="F79" s="79"/>
      <c r="G79" s="79"/>
      <c r="H79" s="79"/>
    </row>
    <row r="80" spans="3:8" ht="16.5" customHeight="1" x14ac:dyDescent="0.4">
      <c r="C80" s="25">
        <v>7866105</v>
      </c>
      <c r="D80" s="26" t="s">
        <v>159</v>
      </c>
      <c r="E80" s="85" t="s">
        <v>160</v>
      </c>
      <c r="F80" s="78">
        <v>414</v>
      </c>
      <c r="G80" s="78">
        <v>20</v>
      </c>
      <c r="H80" s="78">
        <f>F80+G80+G82+G84</f>
        <v>484</v>
      </c>
    </row>
    <row r="81" spans="3:8" ht="18" thickBot="1" x14ac:dyDescent="0.45">
      <c r="C81" s="37" t="s">
        <v>161</v>
      </c>
      <c r="D81" s="38" t="s">
        <v>162</v>
      </c>
      <c r="E81" s="86"/>
      <c r="F81" s="80"/>
      <c r="G81" s="79"/>
      <c r="H81" s="80"/>
    </row>
    <row r="82" spans="3:8" ht="16.5" customHeight="1" x14ac:dyDescent="0.4">
      <c r="C82" s="3">
        <v>7866105</v>
      </c>
      <c r="D82" s="11" t="s">
        <v>159</v>
      </c>
      <c r="E82" s="78" t="s">
        <v>210</v>
      </c>
      <c r="F82" s="80"/>
      <c r="G82" s="78">
        <v>30</v>
      </c>
      <c r="H82" s="80"/>
    </row>
    <row r="83" spans="3:8" ht="18" thickBot="1" x14ac:dyDescent="0.45">
      <c r="C83" s="87" t="s">
        <v>219</v>
      </c>
      <c r="D83" s="88"/>
      <c r="E83" s="79"/>
      <c r="F83" s="80"/>
      <c r="G83" s="79"/>
      <c r="H83" s="80"/>
    </row>
    <row r="84" spans="3:8" ht="16.5" customHeight="1" x14ac:dyDescent="0.4">
      <c r="C84" s="32">
        <v>7866105</v>
      </c>
      <c r="D84" s="33" t="s">
        <v>159</v>
      </c>
      <c r="E84" s="85" t="s">
        <v>163</v>
      </c>
      <c r="F84" s="80"/>
      <c r="G84" s="78">
        <v>20</v>
      </c>
      <c r="H84" s="80"/>
    </row>
    <row r="85" spans="3:8" ht="18" thickBot="1" x14ac:dyDescent="0.45">
      <c r="C85" s="43" t="s">
        <v>164</v>
      </c>
      <c r="D85" s="44" t="s">
        <v>165</v>
      </c>
      <c r="E85" s="86"/>
      <c r="F85" s="79"/>
      <c r="G85" s="79"/>
      <c r="H85" s="79"/>
    </row>
    <row r="86" spans="3:8" ht="16.5" customHeight="1" x14ac:dyDescent="0.4">
      <c r="C86" s="4">
        <v>7882007</v>
      </c>
      <c r="D86" s="9" t="s">
        <v>166</v>
      </c>
      <c r="E86" s="85" t="s">
        <v>167</v>
      </c>
      <c r="F86" s="78">
        <v>68</v>
      </c>
      <c r="G86" s="78">
        <v>50</v>
      </c>
      <c r="H86" s="78">
        <f>SUM(F86:G87)</f>
        <v>118</v>
      </c>
    </row>
    <row r="87" spans="3:8" ht="18" thickBot="1" x14ac:dyDescent="0.45">
      <c r="C87" s="37" t="s">
        <v>168</v>
      </c>
      <c r="D87" s="38" t="s">
        <v>169</v>
      </c>
      <c r="E87" s="86"/>
      <c r="F87" s="79"/>
      <c r="G87" s="79"/>
      <c r="H87" s="79"/>
    </row>
    <row r="88" spans="3:8" x14ac:dyDescent="0.4">
      <c r="C88" s="1">
        <v>7867929</v>
      </c>
      <c r="D88" s="8" t="s">
        <v>47</v>
      </c>
      <c r="E88" s="85" t="s">
        <v>48</v>
      </c>
      <c r="F88" s="78">
        <v>464</v>
      </c>
      <c r="G88" s="78">
        <v>25</v>
      </c>
      <c r="H88" s="78">
        <f t="shared" ref="H88" si="12">SUM(F88:G89)</f>
        <v>489</v>
      </c>
    </row>
    <row r="89" spans="3:8" ht="18" thickBot="1" x14ac:dyDescent="0.45">
      <c r="C89" s="39" t="s">
        <v>49</v>
      </c>
      <c r="D89" s="40" t="s">
        <v>50</v>
      </c>
      <c r="E89" s="86"/>
      <c r="F89" s="79"/>
      <c r="G89" s="79"/>
      <c r="H89" s="79"/>
    </row>
    <row r="90" spans="3:8" x14ac:dyDescent="0.4">
      <c r="C90" s="2">
        <v>7867812</v>
      </c>
      <c r="D90" s="7" t="s">
        <v>173</v>
      </c>
      <c r="E90" s="85" t="s">
        <v>174</v>
      </c>
      <c r="F90" s="78">
        <v>150</v>
      </c>
      <c r="G90" s="78">
        <v>30</v>
      </c>
      <c r="H90" s="78">
        <f t="shared" ref="H90" si="13">SUM(F90:G91)</f>
        <v>180</v>
      </c>
    </row>
    <row r="91" spans="3:8" ht="18" thickBot="1" x14ac:dyDescent="0.45">
      <c r="C91" s="39" t="s">
        <v>175</v>
      </c>
      <c r="D91" s="40" t="s">
        <v>176</v>
      </c>
      <c r="E91" s="86"/>
      <c r="F91" s="79"/>
      <c r="G91" s="79"/>
      <c r="H91" s="79"/>
    </row>
    <row r="92" spans="3:8" x14ac:dyDescent="0.4">
      <c r="C92" s="18">
        <v>7857001</v>
      </c>
      <c r="D92" s="19" t="s">
        <v>177</v>
      </c>
      <c r="E92" s="85" t="s">
        <v>178</v>
      </c>
      <c r="F92" s="78">
        <f>159-6</f>
        <v>153</v>
      </c>
      <c r="G92" s="78">
        <v>20</v>
      </c>
      <c r="H92" s="78">
        <f t="shared" ref="H92" si="14">SUM(F92:G93)</f>
        <v>173</v>
      </c>
    </row>
    <row r="93" spans="3:8" ht="18" thickBot="1" x14ac:dyDescent="0.45">
      <c r="C93" s="43" t="s">
        <v>179</v>
      </c>
      <c r="D93" s="44" t="s">
        <v>180</v>
      </c>
      <c r="E93" s="86"/>
      <c r="F93" s="79"/>
      <c r="G93" s="79"/>
      <c r="H93" s="79"/>
    </row>
    <row r="94" spans="3:8" x14ac:dyDescent="0.4">
      <c r="C94" s="2">
        <v>7857002</v>
      </c>
      <c r="D94" s="7" t="s">
        <v>181</v>
      </c>
      <c r="E94" s="85" t="s">
        <v>182</v>
      </c>
      <c r="F94" s="78">
        <f>141-20</f>
        <v>121</v>
      </c>
      <c r="G94" s="78">
        <v>20</v>
      </c>
      <c r="H94" s="78">
        <f t="shared" ref="H94" si="15">SUM(F94:G95)</f>
        <v>141</v>
      </c>
    </row>
    <row r="95" spans="3:8" ht="18" thickBot="1" x14ac:dyDescent="0.45">
      <c r="C95" s="35" t="s">
        <v>183</v>
      </c>
      <c r="D95" s="36" t="s">
        <v>184</v>
      </c>
      <c r="E95" s="86"/>
      <c r="F95" s="79"/>
      <c r="G95" s="79"/>
      <c r="H95" s="79"/>
    </row>
    <row r="96" spans="3:8" x14ac:dyDescent="0.4">
      <c r="C96" s="2">
        <v>7896081</v>
      </c>
      <c r="D96" s="7" t="s">
        <v>51</v>
      </c>
      <c r="E96" s="85" t="s">
        <v>52</v>
      </c>
      <c r="F96" s="78">
        <v>61</v>
      </c>
      <c r="G96" s="78">
        <v>20</v>
      </c>
      <c r="H96" s="78">
        <f t="shared" ref="H96" si="16">SUM(F96:G97)</f>
        <v>81</v>
      </c>
    </row>
    <row r="97" spans="3:8" ht="18" thickBot="1" x14ac:dyDescent="0.45">
      <c r="C97" s="35" t="s">
        <v>53</v>
      </c>
      <c r="D97" s="36" t="s">
        <v>54</v>
      </c>
      <c r="E97" s="86"/>
      <c r="F97" s="79"/>
      <c r="G97" s="79"/>
      <c r="H97" s="79"/>
    </row>
    <row r="98" spans="3:8" x14ac:dyDescent="0.4">
      <c r="C98" s="2">
        <v>7896079</v>
      </c>
      <c r="D98" s="7" t="s">
        <v>55</v>
      </c>
      <c r="E98" s="85" t="s">
        <v>56</v>
      </c>
      <c r="F98" s="78">
        <v>92</v>
      </c>
      <c r="G98" s="78">
        <v>20</v>
      </c>
      <c r="H98" s="78">
        <f t="shared" ref="H98" si="17">SUM(F98:G99)</f>
        <v>112</v>
      </c>
    </row>
    <row r="99" spans="3:8" ht="18" thickBot="1" x14ac:dyDescent="0.45">
      <c r="C99" s="35" t="s">
        <v>57</v>
      </c>
      <c r="D99" s="36" t="s">
        <v>58</v>
      </c>
      <c r="E99" s="86"/>
      <c r="F99" s="79"/>
      <c r="G99" s="79"/>
      <c r="H99" s="79"/>
    </row>
    <row r="100" spans="3:8" x14ac:dyDescent="0.4">
      <c r="C100" s="2">
        <v>7896080</v>
      </c>
      <c r="D100" s="7" t="s">
        <v>59</v>
      </c>
      <c r="E100" s="85" t="s">
        <v>60</v>
      </c>
      <c r="F100" s="78">
        <v>61</v>
      </c>
      <c r="G100" s="78">
        <v>20</v>
      </c>
      <c r="H100" s="78">
        <f t="shared" ref="H100" si="18">SUM(F100:G101)</f>
        <v>81</v>
      </c>
    </row>
    <row r="101" spans="3:8" ht="18" thickBot="1" x14ac:dyDescent="0.45">
      <c r="C101" s="35" t="s">
        <v>61</v>
      </c>
      <c r="D101" s="36" t="s">
        <v>62</v>
      </c>
      <c r="E101" s="86"/>
      <c r="F101" s="79"/>
      <c r="G101" s="79"/>
      <c r="H101" s="79"/>
    </row>
    <row r="102" spans="3:8" ht="18" thickBot="1" x14ac:dyDescent="0.45">
      <c r="C102" s="45" t="s">
        <v>202</v>
      </c>
      <c r="D102" s="46" t="s">
        <v>200</v>
      </c>
      <c r="E102" s="15" t="s">
        <v>211</v>
      </c>
      <c r="F102" s="12">
        <v>164</v>
      </c>
      <c r="G102" s="12">
        <v>10</v>
      </c>
      <c r="H102" s="12">
        <f>SUM(F102:G102)</f>
        <v>174</v>
      </c>
    </row>
    <row r="103" spans="3:8" ht="18" thickBot="1" x14ac:dyDescent="0.45">
      <c r="C103" s="45" t="s">
        <v>203</v>
      </c>
      <c r="D103" s="46" t="s">
        <v>196</v>
      </c>
      <c r="E103" s="15" t="s">
        <v>212</v>
      </c>
      <c r="F103" s="12">
        <v>44</v>
      </c>
      <c r="G103" s="12">
        <v>20</v>
      </c>
      <c r="H103" s="12">
        <f>SUM(F103:G103)</f>
        <v>64</v>
      </c>
    </row>
    <row r="104" spans="3:8" ht="18" thickBot="1" x14ac:dyDescent="0.45">
      <c r="C104" s="45" t="s">
        <v>204</v>
      </c>
      <c r="D104" s="46" t="s">
        <v>197</v>
      </c>
      <c r="E104" s="15" t="s">
        <v>213</v>
      </c>
      <c r="F104" s="12">
        <v>120</v>
      </c>
      <c r="G104" s="12">
        <v>20</v>
      </c>
      <c r="H104" s="12">
        <f t="shared" ref="H104:H105" si="19">SUM(F104:G104)</f>
        <v>140</v>
      </c>
    </row>
    <row r="105" spans="3:8" ht="18" thickBot="1" x14ac:dyDescent="0.45">
      <c r="C105" s="47" t="s">
        <v>205</v>
      </c>
      <c r="D105" s="48" t="s">
        <v>198</v>
      </c>
      <c r="E105" s="34" t="s">
        <v>214</v>
      </c>
      <c r="F105" s="12">
        <v>110</v>
      </c>
      <c r="G105" s="12">
        <v>20</v>
      </c>
      <c r="H105" s="12">
        <f t="shared" si="19"/>
        <v>130</v>
      </c>
    </row>
    <row r="106" spans="3:8" x14ac:dyDescent="0.4">
      <c r="C106" s="81" t="s">
        <v>224</v>
      </c>
      <c r="D106" s="82"/>
      <c r="E106" s="82"/>
      <c r="F106" s="82"/>
      <c r="G106" s="82"/>
      <c r="H106" s="82"/>
    </row>
    <row r="107" spans="3:8" ht="18" thickBot="1" x14ac:dyDescent="0.45">
      <c r="C107" s="83"/>
      <c r="D107" s="84"/>
      <c r="E107" s="84"/>
      <c r="F107" s="84"/>
      <c r="G107" s="84"/>
      <c r="H107" s="84"/>
    </row>
    <row r="108" spans="3:8" x14ac:dyDescent="0.4">
      <c r="C108" s="23">
        <v>7867154</v>
      </c>
      <c r="D108" s="24" t="s">
        <v>114</v>
      </c>
      <c r="E108" s="85" t="s">
        <v>115</v>
      </c>
      <c r="F108" s="78">
        <f>20-5</f>
        <v>15</v>
      </c>
      <c r="G108" s="78"/>
      <c r="H108" s="78"/>
    </row>
    <row r="109" spans="3:8" ht="18" thickBot="1" x14ac:dyDescent="0.45">
      <c r="C109" s="20" t="s">
        <v>116</v>
      </c>
      <c r="D109" s="21" t="s">
        <v>117</v>
      </c>
      <c r="E109" s="86"/>
      <c r="F109" s="79"/>
      <c r="G109" s="79"/>
      <c r="H109" s="79"/>
    </row>
    <row r="110" spans="3:8" x14ac:dyDescent="0.4">
      <c r="C110" s="18">
        <v>7867155</v>
      </c>
      <c r="D110" s="19" t="s">
        <v>118</v>
      </c>
      <c r="E110" s="85" t="s">
        <v>119</v>
      </c>
      <c r="F110" s="78">
        <v>15</v>
      </c>
      <c r="G110" s="78"/>
      <c r="H110" s="78"/>
    </row>
    <row r="111" spans="3:8" ht="18" thickBot="1" x14ac:dyDescent="0.45">
      <c r="C111" s="20" t="s">
        <v>227</v>
      </c>
      <c r="D111" s="21" t="s">
        <v>120</v>
      </c>
      <c r="E111" s="86"/>
      <c r="F111" s="79"/>
      <c r="G111" s="79"/>
      <c r="H111" s="79"/>
    </row>
    <row r="112" spans="3:8" x14ac:dyDescent="0.4">
      <c r="C112" s="18">
        <v>7868036</v>
      </c>
      <c r="D112" s="19" t="s">
        <v>121</v>
      </c>
      <c r="E112" s="85" t="s">
        <v>122</v>
      </c>
      <c r="F112" s="78">
        <v>20</v>
      </c>
      <c r="G112" s="78"/>
      <c r="H112" s="78"/>
    </row>
    <row r="113" spans="3:8" ht="18" thickBot="1" x14ac:dyDescent="0.45">
      <c r="C113" s="20" t="s">
        <v>123</v>
      </c>
      <c r="D113" s="21" t="s">
        <v>124</v>
      </c>
      <c r="E113" s="86"/>
      <c r="F113" s="79"/>
      <c r="G113" s="79"/>
      <c r="H113" s="79"/>
    </row>
    <row r="114" spans="3:8" x14ac:dyDescent="0.4">
      <c r="C114" s="18">
        <v>7868037</v>
      </c>
      <c r="D114" s="19" t="s">
        <v>125</v>
      </c>
      <c r="E114" s="85" t="s">
        <v>126</v>
      </c>
      <c r="F114" s="78">
        <v>110</v>
      </c>
      <c r="G114" s="78"/>
      <c r="H114" s="78"/>
    </row>
    <row r="115" spans="3:8" ht="18" thickBot="1" x14ac:dyDescent="0.45">
      <c r="C115" s="20" t="s">
        <v>127</v>
      </c>
      <c r="D115" s="21" t="s">
        <v>128</v>
      </c>
      <c r="E115" s="86"/>
      <c r="F115" s="79"/>
      <c r="G115" s="79"/>
      <c r="H115" s="79"/>
    </row>
    <row r="116" spans="3:8" x14ac:dyDescent="0.4">
      <c r="C116" s="18">
        <v>7826060</v>
      </c>
      <c r="D116" s="19" t="s">
        <v>4</v>
      </c>
      <c r="E116" s="85" t="s">
        <v>5</v>
      </c>
      <c r="F116" s="78">
        <v>52</v>
      </c>
      <c r="G116" s="78"/>
      <c r="H116" s="78"/>
    </row>
    <row r="117" spans="3:8" ht="18" thickBot="1" x14ac:dyDescent="0.45">
      <c r="C117" s="20" t="s">
        <v>228</v>
      </c>
      <c r="D117" s="21" t="s">
        <v>6</v>
      </c>
      <c r="E117" s="86"/>
      <c r="F117" s="79"/>
      <c r="G117" s="79"/>
      <c r="H117" s="79"/>
    </row>
    <row r="118" spans="3:8" x14ac:dyDescent="0.4">
      <c r="C118" s="18">
        <v>7866103</v>
      </c>
      <c r="D118" s="19" t="s">
        <v>170</v>
      </c>
      <c r="E118" s="85" t="s">
        <v>171</v>
      </c>
      <c r="F118" s="78">
        <v>73</v>
      </c>
      <c r="G118" s="78"/>
      <c r="H118" s="78"/>
    </row>
    <row r="119" spans="3:8" ht="18" thickBot="1" x14ac:dyDescent="0.45">
      <c r="C119" s="20" t="s">
        <v>229</v>
      </c>
      <c r="D119" s="21" t="s">
        <v>172</v>
      </c>
      <c r="E119" s="86"/>
      <c r="F119" s="79"/>
      <c r="G119" s="79"/>
      <c r="H119" s="79"/>
    </row>
    <row r="120" spans="3:8" x14ac:dyDescent="0.4">
      <c r="C120" s="18">
        <v>7866103</v>
      </c>
      <c r="D120" s="19" t="s">
        <v>170</v>
      </c>
      <c r="E120" s="85" t="s">
        <v>188</v>
      </c>
      <c r="F120" s="78">
        <v>124</v>
      </c>
      <c r="G120" s="78"/>
      <c r="H120" s="78"/>
    </row>
    <row r="121" spans="3:8" ht="18" thickBot="1" x14ac:dyDescent="0.45">
      <c r="C121" s="20" t="s">
        <v>230</v>
      </c>
      <c r="D121" s="21" t="s">
        <v>189</v>
      </c>
      <c r="E121" s="86"/>
      <c r="F121" s="79"/>
      <c r="G121" s="79"/>
      <c r="H121" s="79"/>
    </row>
    <row r="122" spans="3:8" x14ac:dyDescent="0.4">
      <c r="C122" s="18">
        <v>7810088</v>
      </c>
      <c r="D122" s="19" t="s">
        <v>190</v>
      </c>
      <c r="E122" s="85" t="s">
        <v>191</v>
      </c>
      <c r="F122" s="78">
        <v>241</v>
      </c>
      <c r="G122" s="78"/>
      <c r="H122" s="78"/>
    </row>
    <row r="123" spans="3:8" ht="18" thickBot="1" x14ac:dyDescent="0.45">
      <c r="C123" s="20" t="s">
        <v>231</v>
      </c>
      <c r="D123" s="21" t="s">
        <v>192</v>
      </c>
      <c r="E123" s="86"/>
      <c r="F123" s="79"/>
      <c r="G123" s="79"/>
      <c r="H123" s="79"/>
    </row>
    <row r="124" spans="3:8" ht="18" thickBot="1" x14ac:dyDescent="0.45">
      <c r="C124" s="13" t="s">
        <v>206</v>
      </c>
      <c r="D124" s="14" t="s">
        <v>199</v>
      </c>
      <c r="E124" s="22" t="s">
        <v>215</v>
      </c>
      <c r="F124" s="12">
        <v>30</v>
      </c>
      <c r="G124" s="12"/>
      <c r="H124" s="12"/>
    </row>
    <row r="125" spans="3:8" ht="18" thickBot="1" x14ac:dyDescent="0.45">
      <c r="C125" s="13" t="s">
        <v>207</v>
      </c>
      <c r="D125" s="14" t="s">
        <v>199</v>
      </c>
      <c r="E125" s="22" t="s">
        <v>216</v>
      </c>
      <c r="F125" s="12">
        <v>30</v>
      </c>
      <c r="G125" s="12"/>
      <c r="H125" s="12"/>
    </row>
    <row r="126" spans="3:8" ht="18" thickBot="1" x14ac:dyDescent="0.45">
      <c r="C126" s="13" t="s">
        <v>208</v>
      </c>
      <c r="D126" s="14" t="s">
        <v>201</v>
      </c>
      <c r="E126" s="22" t="s">
        <v>217</v>
      </c>
      <c r="F126" s="12">
        <v>180</v>
      </c>
      <c r="G126" s="12"/>
      <c r="H126" s="12"/>
    </row>
    <row r="130" ht="15.75" customHeight="1" x14ac:dyDescent="0.4"/>
  </sheetData>
  <mergeCells count="208">
    <mergeCell ref="H74:H75"/>
    <mergeCell ref="H56:H63"/>
    <mergeCell ref="F64:F65"/>
    <mergeCell ref="G64:G65"/>
    <mergeCell ref="F30:F33"/>
    <mergeCell ref="F48:F49"/>
    <mergeCell ref="G48:G49"/>
    <mergeCell ref="G50:G51"/>
    <mergeCell ref="F50:F53"/>
    <mergeCell ref="H50:H53"/>
    <mergeCell ref="G34:G35"/>
    <mergeCell ref="H48:H49"/>
    <mergeCell ref="H46:H47"/>
    <mergeCell ref="H44:H45"/>
    <mergeCell ref="H42:H43"/>
    <mergeCell ref="H40:H41"/>
    <mergeCell ref="H38:H39"/>
    <mergeCell ref="H70:H71"/>
    <mergeCell ref="H72:H73"/>
    <mergeCell ref="G60:G61"/>
    <mergeCell ref="G62:G63"/>
    <mergeCell ref="H64:H65"/>
    <mergeCell ref="H66:H67"/>
    <mergeCell ref="H68:H69"/>
    <mergeCell ref="E20:E21"/>
    <mergeCell ref="E22:E23"/>
    <mergeCell ref="E24:E25"/>
    <mergeCell ref="E52:E53"/>
    <mergeCell ref="E32:E33"/>
    <mergeCell ref="H20:H21"/>
    <mergeCell ref="H18:H19"/>
    <mergeCell ref="H16:H17"/>
    <mergeCell ref="E58:E59"/>
    <mergeCell ref="E56:E57"/>
    <mergeCell ref="E50:E51"/>
    <mergeCell ref="E54:E55"/>
    <mergeCell ref="G56:G57"/>
    <mergeCell ref="H26:H29"/>
    <mergeCell ref="H22:H25"/>
    <mergeCell ref="E26:E27"/>
    <mergeCell ref="F46:F47"/>
    <mergeCell ref="G46:G47"/>
    <mergeCell ref="G58:G59"/>
    <mergeCell ref="F56:F63"/>
    <mergeCell ref="C36:H37"/>
    <mergeCell ref="H54:H55"/>
    <mergeCell ref="E120:E121"/>
    <mergeCell ref="E122:E123"/>
    <mergeCell ref="E108:E109"/>
    <mergeCell ref="E110:E111"/>
    <mergeCell ref="E112:E113"/>
    <mergeCell ref="E114:E115"/>
    <mergeCell ref="E116:E117"/>
    <mergeCell ref="E118:E119"/>
    <mergeCell ref="E90:E91"/>
    <mergeCell ref="E92:E93"/>
    <mergeCell ref="E96:E97"/>
    <mergeCell ref="E98:E99"/>
    <mergeCell ref="E100:E101"/>
    <mergeCell ref="E94:E95"/>
    <mergeCell ref="E72:E73"/>
    <mergeCell ref="E74:E75"/>
    <mergeCell ref="E76:E77"/>
    <mergeCell ref="E78:E79"/>
    <mergeCell ref="E80:E81"/>
    <mergeCell ref="E82:E83"/>
    <mergeCell ref="E84:E85"/>
    <mergeCell ref="E86:E87"/>
    <mergeCell ref="E48:E49"/>
    <mergeCell ref="E68:E69"/>
    <mergeCell ref="E64:E65"/>
    <mergeCell ref="E66:E67"/>
    <mergeCell ref="E70:E71"/>
    <mergeCell ref="E60:E61"/>
    <mergeCell ref="E62:E63"/>
    <mergeCell ref="F118:F119"/>
    <mergeCell ref="H108:H109"/>
    <mergeCell ref="F96:F97"/>
    <mergeCell ref="G96:G97"/>
    <mergeCell ref="G108:G109"/>
    <mergeCell ref="F110:F111"/>
    <mergeCell ref="G110:G111"/>
    <mergeCell ref="F112:F113"/>
    <mergeCell ref="G112:G113"/>
    <mergeCell ref="F114:F115"/>
    <mergeCell ref="G114:G115"/>
    <mergeCell ref="G118:G119"/>
    <mergeCell ref="H118:H119"/>
    <mergeCell ref="H96:H97"/>
    <mergeCell ref="F100:F101"/>
    <mergeCell ref="G100:G101"/>
    <mergeCell ref="H114:H115"/>
    <mergeCell ref="H116:H117"/>
    <mergeCell ref="F116:F117"/>
    <mergeCell ref="G116:G117"/>
    <mergeCell ref="F120:F121"/>
    <mergeCell ref="G120:G121"/>
    <mergeCell ref="F122:F123"/>
    <mergeCell ref="G122:G123"/>
    <mergeCell ref="H120:H121"/>
    <mergeCell ref="H122:H123"/>
    <mergeCell ref="F6:F7"/>
    <mergeCell ref="G6:G7"/>
    <mergeCell ref="G8:G9"/>
    <mergeCell ref="F8:F9"/>
    <mergeCell ref="G40:G41"/>
    <mergeCell ref="G42:G43"/>
    <mergeCell ref="F34:F35"/>
    <mergeCell ref="F38:F39"/>
    <mergeCell ref="F40:F41"/>
    <mergeCell ref="F42:F43"/>
    <mergeCell ref="F10:F15"/>
    <mergeCell ref="F22:F25"/>
    <mergeCell ref="F94:F95"/>
    <mergeCell ref="G94:G95"/>
    <mergeCell ref="F26:F29"/>
    <mergeCell ref="G38:G39"/>
    <mergeCell ref="F44:F45"/>
    <mergeCell ref="G44:G45"/>
    <mergeCell ref="H2:H3"/>
    <mergeCell ref="H6:H7"/>
    <mergeCell ref="H8:H9"/>
    <mergeCell ref="C4:H5"/>
    <mergeCell ref="E8:E9"/>
    <mergeCell ref="C6:C7"/>
    <mergeCell ref="E6:E7"/>
    <mergeCell ref="G98:G99"/>
    <mergeCell ref="E2:E3"/>
    <mergeCell ref="F2:F3"/>
    <mergeCell ref="G2:G3"/>
    <mergeCell ref="F92:F93"/>
    <mergeCell ref="G92:G93"/>
    <mergeCell ref="F78:F79"/>
    <mergeCell ref="G78:G79"/>
    <mergeCell ref="G76:G77"/>
    <mergeCell ref="G14:G15"/>
    <mergeCell ref="F16:F17"/>
    <mergeCell ref="G16:G17"/>
    <mergeCell ref="E38:E39"/>
    <mergeCell ref="E40:E41"/>
    <mergeCell ref="E42:E43"/>
    <mergeCell ref="E44:E45"/>
    <mergeCell ref="E46:E47"/>
    <mergeCell ref="F72:F73"/>
    <mergeCell ref="G72:G73"/>
    <mergeCell ref="F74:F75"/>
    <mergeCell ref="G74:G75"/>
    <mergeCell ref="G80:G81"/>
    <mergeCell ref="G82:G83"/>
    <mergeCell ref="G52:G53"/>
    <mergeCell ref="F54:F55"/>
    <mergeCell ref="G54:G55"/>
    <mergeCell ref="F80:F85"/>
    <mergeCell ref="F66:F67"/>
    <mergeCell ref="G66:G67"/>
    <mergeCell ref="F68:F69"/>
    <mergeCell ref="G68:G69"/>
    <mergeCell ref="F70:F71"/>
    <mergeCell ref="G70:G71"/>
    <mergeCell ref="F76:F77"/>
    <mergeCell ref="H10:H15"/>
    <mergeCell ref="H34:H35"/>
    <mergeCell ref="H30:H33"/>
    <mergeCell ref="G24:G25"/>
    <mergeCell ref="E28:E29"/>
    <mergeCell ref="C29:D29"/>
    <mergeCell ref="E30:E31"/>
    <mergeCell ref="E34:E35"/>
    <mergeCell ref="G26:G27"/>
    <mergeCell ref="G28:G29"/>
    <mergeCell ref="G30:G31"/>
    <mergeCell ref="G32:G33"/>
    <mergeCell ref="G10:G11"/>
    <mergeCell ref="G12:G13"/>
    <mergeCell ref="F18:F19"/>
    <mergeCell ref="G18:G19"/>
    <mergeCell ref="F20:F21"/>
    <mergeCell ref="G20:G21"/>
    <mergeCell ref="G22:G23"/>
    <mergeCell ref="E10:E11"/>
    <mergeCell ref="E12:E13"/>
    <mergeCell ref="E14:E15"/>
    <mergeCell ref="E16:E17"/>
    <mergeCell ref="E18:E19"/>
    <mergeCell ref="H76:H77"/>
    <mergeCell ref="H78:H79"/>
    <mergeCell ref="H86:H87"/>
    <mergeCell ref="H88:H89"/>
    <mergeCell ref="H90:H91"/>
    <mergeCell ref="H92:H93"/>
    <mergeCell ref="H80:H85"/>
    <mergeCell ref="H110:H111"/>
    <mergeCell ref="H112:H113"/>
    <mergeCell ref="C106:H107"/>
    <mergeCell ref="F108:F109"/>
    <mergeCell ref="F98:F99"/>
    <mergeCell ref="F90:F91"/>
    <mergeCell ref="G90:G91"/>
    <mergeCell ref="H98:H99"/>
    <mergeCell ref="H100:H101"/>
    <mergeCell ref="G84:G85"/>
    <mergeCell ref="F86:F87"/>
    <mergeCell ref="G86:G87"/>
    <mergeCell ref="F88:F89"/>
    <mergeCell ref="G88:G89"/>
    <mergeCell ref="H94:H95"/>
    <mergeCell ref="E88:E89"/>
    <mergeCell ref="C83:D83"/>
  </mergeCells>
  <phoneticPr fontId="1" type="noConversion"/>
  <conditionalFormatting sqref="F8:F15 F18:F21">
    <cfRule type="cellIs" dxfId="2" priority="1" operator="lessThan">
      <formula>100</formula>
    </cfRule>
  </conditionalFormatting>
  <conditionalFormatting sqref="H6:H35">
    <cfRule type="cellIs" dxfId="1" priority="2" operator="lessThan">
      <formula>150</formula>
    </cfRule>
  </conditionalFormatting>
  <conditionalFormatting sqref="H38:H105">
    <cfRule type="cellIs" dxfId="0" priority="3" operator="lessThan">
      <formula>100</formula>
    </cfRule>
  </conditionalFormatting>
  <pageMargins left="0.7" right="0.7" top="0.75" bottom="0.75" header="0.3" footer="0.3"/>
  <pageSetup paperSize="9" scale="33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06572-5D8E-4E92-AB56-F5C4DB60ED09}">
  <dimension ref="A5:L21"/>
  <sheetViews>
    <sheetView tabSelected="1" workbookViewId="0">
      <selection activeCell="J23" sqref="J23"/>
    </sheetView>
  </sheetViews>
  <sheetFormatPr defaultRowHeight="17.399999999999999" x14ac:dyDescent="0.4"/>
  <sheetData>
    <row r="5" spans="1:12" x14ac:dyDescent="0.4">
      <c r="A5" s="116"/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</row>
    <row r="6" spans="1:12" x14ac:dyDescent="0.4">
      <c r="A6" t="s">
        <v>301</v>
      </c>
    </row>
    <row r="8" spans="1:12" x14ac:dyDescent="0.4">
      <c r="A8" t="s">
        <v>302</v>
      </c>
    </row>
    <row r="10" spans="1:12" ht="16.5" customHeight="1" x14ac:dyDescent="0.4">
      <c r="A10" t="s">
        <v>303</v>
      </c>
      <c r="E10" s="117" t="s">
        <v>312</v>
      </c>
      <c r="F10" s="117"/>
      <c r="G10" s="117"/>
      <c r="H10" s="117"/>
      <c r="I10" s="117"/>
      <c r="J10" s="117"/>
      <c r="K10" s="117"/>
      <c r="L10" s="117"/>
    </row>
    <row r="11" spans="1:12" x14ac:dyDescent="0.4">
      <c r="A11" t="s">
        <v>304</v>
      </c>
      <c r="E11" s="117"/>
      <c r="F11" s="117"/>
      <c r="G11" s="117"/>
      <c r="H11" s="117"/>
      <c r="I11" s="117"/>
      <c r="J11" s="117"/>
      <c r="K11" s="117"/>
      <c r="L11" s="117"/>
    </row>
    <row r="12" spans="1:12" x14ac:dyDescent="0.4">
      <c r="A12" t="s">
        <v>305</v>
      </c>
      <c r="E12" s="117"/>
      <c r="F12" s="117"/>
      <c r="G12" s="117"/>
      <c r="H12" s="117"/>
      <c r="I12" s="117"/>
      <c r="J12" s="117"/>
      <c r="K12" s="117"/>
      <c r="L12" s="117"/>
    </row>
    <row r="13" spans="1:12" x14ac:dyDescent="0.4">
      <c r="A13" t="s">
        <v>306</v>
      </c>
      <c r="E13" s="117"/>
      <c r="F13" s="117"/>
      <c r="G13" s="117"/>
      <c r="H13" s="117"/>
      <c r="I13" s="117"/>
      <c r="J13" s="117"/>
      <c r="K13" s="117"/>
      <c r="L13" s="117"/>
    </row>
    <row r="14" spans="1:12" x14ac:dyDescent="0.4">
      <c r="A14" t="s">
        <v>307</v>
      </c>
      <c r="E14" s="117"/>
      <c r="F14" s="117"/>
      <c r="G14" s="117"/>
      <c r="H14" s="117"/>
      <c r="I14" s="117"/>
      <c r="J14" s="117"/>
      <c r="K14" s="117"/>
      <c r="L14" s="117"/>
    </row>
    <row r="15" spans="1:12" x14ac:dyDescent="0.4">
      <c r="A15" t="s">
        <v>304</v>
      </c>
      <c r="E15" s="117"/>
      <c r="F15" s="117"/>
      <c r="G15" s="117"/>
      <c r="H15" s="117"/>
      <c r="I15" s="117"/>
      <c r="J15" s="117"/>
      <c r="K15" s="117"/>
      <c r="L15" s="117"/>
    </row>
    <row r="16" spans="1:12" x14ac:dyDescent="0.4">
      <c r="A16" t="s">
        <v>308</v>
      </c>
      <c r="E16" s="117"/>
      <c r="F16" s="117"/>
      <c r="G16" s="117"/>
      <c r="H16" s="117"/>
      <c r="I16" s="117"/>
      <c r="J16" s="117"/>
      <c r="K16" s="117"/>
      <c r="L16" s="117"/>
    </row>
    <row r="17" spans="1:12" x14ac:dyDescent="0.4">
      <c r="A17" t="s">
        <v>306</v>
      </c>
      <c r="E17" s="117"/>
      <c r="F17" s="117"/>
      <c r="G17" s="117"/>
      <c r="H17" s="117"/>
      <c r="I17" s="117"/>
      <c r="J17" s="117"/>
      <c r="K17" s="117"/>
      <c r="L17" s="117"/>
    </row>
    <row r="18" spans="1:12" x14ac:dyDescent="0.4">
      <c r="A18" t="s">
        <v>309</v>
      </c>
      <c r="E18" s="117"/>
      <c r="F18" s="117"/>
      <c r="G18" s="117"/>
      <c r="H18" s="117"/>
      <c r="I18" s="117"/>
      <c r="J18" s="117"/>
      <c r="K18" s="117"/>
      <c r="L18" s="117"/>
    </row>
    <row r="19" spans="1:12" x14ac:dyDescent="0.4">
      <c r="E19" s="117"/>
      <c r="F19" s="117"/>
      <c r="G19" s="117"/>
      <c r="H19" s="117"/>
      <c r="I19" s="117"/>
      <c r="J19" s="117"/>
      <c r="K19" s="117"/>
      <c r="L19" s="117"/>
    </row>
    <row r="20" spans="1:12" x14ac:dyDescent="0.4">
      <c r="A20" t="s">
        <v>310</v>
      </c>
    </row>
    <row r="21" spans="1:12" x14ac:dyDescent="0.4">
      <c r="A21" t="s">
        <v>311</v>
      </c>
    </row>
  </sheetData>
  <mergeCells count="2">
    <mergeCell ref="A5:L5"/>
    <mergeCell ref="E10:L1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품목별 사용 피팅 수량</vt:lpstr>
      <vt:lpstr>품목명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ksp10</dc:creator>
  <cp:lastModifiedBy>연휘 유</cp:lastModifiedBy>
  <cp:lastPrinted>2026-05-06T01:56:15Z</cp:lastPrinted>
  <dcterms:created xsi:type="dcterms:W3CDTF">2025-04-04T04:33:06Z</dcterms:created>
  <dcterms:modified xsi:type="dcterms:W3CDTF">2026-06-04T06:21:29Z</dcterms:modified>
</cp:coreProperties>
</file>